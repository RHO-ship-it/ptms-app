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srvap01.testing.local\Ttesting\Tunac 43 03-04-2026\Rounds 2026\TTS-T2602\Etude d'homogéniété\"/>
    </mc:Choice>
  </mc:AlternateContent>
  <xr:revisionPtr revIDLastSave="0" documentId="13_ncr:1_{152EA590-BBC1-4985-9F61-E541CBCB6CAC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Page 1" sheetId="38" r:id="rId1"/>
    <sheet name="Selection des entités" sheetId="39" r:id="rId2"/>
    <sheet name="Homogénéité-stabilité-quantita " sheetId="26" r:id="rId3"/>
    <sheet name="Test de cochran" sheetId="30" r:id="rId4"/>
    <sheet name="Homogénéité-stabilité-qualita" sheetId="28" r:id="rId5"/>
    <sheet name="Homogénéité-stabilité-solidité" sheetId="35" r:id="rId6"/>
  </sheets>
  <definedNames>
    <definedName name="_xlnm.Print_Area" localSheetId="2">'Homogénéité-stabilité-quantita '!$B:$AA</definedName>
    <definedName name="_xlnm.Print_Area" localSheetId="3">'Test de cochran'!$B:$W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47" i="26" l="1"/>
  <c r="C11" i="39"/>
  <c r="E10" i="39" s="1"/>
  <c r="N16" i="39"/>
  <c r="O16" i="39"/>
  <c r="P16" i="39"/>
  <c r="Q16" i="39"/>
  <c r="R16" i="39"/>
  <c r="S16" i="39"/>
  <c r="T16" i="39"/>
  <c r="U16" i="39"/>
  <c r="B65" i="39"/>
  <c r="C65" i="39"/>
  <c r="B66" i="39"/>
  <c r="C66" i="39" s="1"/>
  <c r="B67" i="39"/>
  <c r="C67" i="39" s="1"/>
  <c r="B68" i="39"/>
  <c r="C68" i="39" s="1"/>
  <c r="B69" i="39"/>
  <c r="C69" i="39" s="1"/>
  <c r="B70" i="39"/>
  <c r="C70" i="39" s="1"/>
  <c r="B71" i="39"/>
  <c r="C71" i="39" s="1"/>
  <c r="B72" i="39"/>
  <c r="C72" i="39" s="1"/>
  <c r="B73" i="39"/>
  <c r="C73" i="39" s="1"/>
  <c r="B74" i="39"/>
  <c r="C74" i="39" s="1"/>
  <c r="B75" i="39"/>
  <c r="C75" i="39" s="1"/>
  <c r="B76" i="39"/>
  <c r="C76" i="39" s="1"/>
  <c r="B77" i="39"/>
  <c r="C77" i="39" s="1"/>
  <c r="B78" i="39"/>
  <c r="C78" i="39" s="1"/>
  <c r="B79" i="39"/>
  <c r="C79" i="39" s="1"/>
  <c r="B80" i="39"/>
  <c r="C80" i="39" s="1"/>
  <c r="B81" i="39"/>
  <c r="C81" i="39" s="1"/>
  <c r="B82" i="39"/>
  <c r="C82" i="39" s="1"/>
  <c r="B83" i="39"/>
  <c r="C83" i="39" s="1"/>
  <c r="B84" i="39"/>
  <c r="C84" i="39" s="1"/>
  <c r="B85" i="39"/>
  <c r="C85" i="39" s="1"/>
  <c r="B86" i="39"/>
  <c r="C86" i="39" s="1"/>
  <c r="B87" i="39"/>
  <c r="C87" i="39" s="1"/>
  <c r="B88" i="39"/>
  <c r="C88" i="39" s="1"/>
  <c r="B89" i="39"/>
  <c r="C89" i="39" s="1"/>
  <c r="B90" i="39"/>
  <c r="C90" i="39" s="1"/>
  <c r="B91" i="39"/>
  <c r="C91" i="39" s="1"/>
  <c r="B92" i="39"/>
  <c r="C92" i="39" s="1"/>
  <c r="B93" i="39"/>
  <c r="C93" i="39" s="1"/>
  <c r="B94" i="39"/>
  <c r="C94" i="39" s="1"/>
  <c r="B95" i="39"/>
  <c r="C95" i="39" s="1"/>
  <c r="B96" i="39"/>
  <c r="C96" i="39" s="1"/>
  <c r="B97" i="39"/>
  <c r="C97" i="39" s="1"/>
  <c r="B98" i="39"/>
  <c r="C98" i="39" s="1"/>
  <c r="B99" i="39"/>
  <c r="C99" i="39" s="1"/>
  <c r="B100" i="39"/>
  <c r="C100" i="39" s="1"/>
  <c r="B101" i="39"/>
  <c r="C101" i="39" s="1"/>
  <c r="B102" i="39"/>
  <c r="C102" i="39" s="1"/>
  <c r="B103" i="39"/>
  <c r="C103" i="39" s="1"/>
  <c r="B104" i="39"/>
  <c r="C104" i="39" s="1"/>
  <c r="B105" i="39"/>
  <c r="C105" i="39" s="1"/>
  <c r="B106" i="39"/>
  <c r="C106" i="39" s="1"/>
  <c r="B107" i="39"/>
  <c r="C107" i="39" s="1"/>
  <c r="B108" i="39"/>
  <c r="C108" i="39" s="1"/>
  <c r="B109" i="39"/>
  <c r="C109" i="39" s="1"/>
  <c r="B110" i="39"/>
  <c r="C110" i="39" s="1"/>
  <c r="B111" i="39"/>
  <c r="C111" i="39" s="1"/>
  <c r="B112" i="39"/>
  <c r="C112" i="39" s="1"/>
  <c r="B113" i="39"/>
  <c r="C113" i="39" s="1"/>
  <c r="B114" i="39"/>
  <c r="C114" i="39" s="1"/>
  <c r="B115" i="39"/>
  <c r="C115" i="39" s="1"/>
  <c r="B116" i="39"/>
  <c r="B117" i="39"/>
  <c r="C117" i="39" s="1"/>
  <c r="B118" i="39"/>
  <c r="C118" i="39" s="1"/>
  <c r="B119" i="39"/>
  <c r="C119" i="39" s="1"/>
  <c r="B120" i="39"/>
  <c r="C120" i="39" s="1"/>
  <c r="B121" i="39"/>
  <c r="C121" i="39" s="1"/>
  <c r="B122" i="39"/>
  <c r="B123" i="39"/>
  <c r="C123" i="39" s="1"/>
  <c r="B124" i="39"/>
  <c r="C124" i="39" s="1"/>
  <c r="B125" i="39"/>
  <c r="C125" i="39" s="1"/>
  <c r="B126" i="39"/>
  <c r="C126" i="39" s="1"/>
  <c r="B127" i="39"/>
  <c r="C127" i="39" s="1"/>
  <c r="B128" i="39"/>
  <c r="B129" i="39"/>
  <c r="C129" i="39" s="1"/>
  <c r="B130" i="39"/>
  <c r="C130" i="39" s="1"/>
  <c r="B131" i="39"/>
  <c r="B132" i="39"/>
  <c r="C132" i="39" s="1"/>
  <c r="B133" i="39"/>
  <c r="C133" i="39" s="1"/>
  <c r="B134" i="39"/>
  <c r="B135" i="39"/>
  <c r="C135" i="39" s="1"/>
  <c r="B136" i="39"/>
  <c r="C136" i="39" s="1"/>
  <c r="B137" i="39"/>
  <c r="C137" i="39"/>
  <c r="B138" i="39"/>
  <c r="C138" i="39" s="1"/>
  <c r="B139" i="39"/>
  <c r="C139" i="39" s="1"/>
  <c r="B140" i="39"/>
  <c r="B141" i="39"/>
  <c r="C141" i="39" s="1"/>
  <c r="B142" i="39"/>
  <c r="C142" i="39" s="1"/>
  <c r="B143" i="39"/>
  <c r="C143" i="39" s="1"/>
  <c r="B144" i="39"/>
  <c r="C144" i="39" s="1"/>
  <c r="B145" i="39"/>
  <c r="C145" i="39" s="1"/>
  <c r="B146" i="39"/>
  <c r="B147" i="39"/>
  <c r="C147" i="39" s="1"/>
  <c r="B148" i="39"/>
  <c r="C148" i="39" s="1"/>
  <c r="B149" i="39"/>
  <c r="C149" i="39" s="1"/>
  <c r="B150" i="39"/>
  <c r="C150" i="39" s="1"/>
  <c r="B151" i="39"/>
  <c r="C151" i="39" s="1"/>
  <c r="B152" i="39"/>
  <c r="B153" i="39"/>
  <c r="C153" i="39" s="1"/>
  <c r="B154" i="39"/>
  <c r="C154" i="39" s="1"/>
  <c r="B155" i="39"/>
  <c r="C155" i="39" s="1"/>
  <c r="B156" i="39"/>
  <c r="C156" i="39" s="1"/>
  <c r="B157" i="39"/>
  <c r="C157" i="39" s="1"/>
  <c r="B158" i="39"/>
  <c r="B159" i="39"/>
  <c r="C159" i="39" s="1"/>
  <c r="B160" i="39"/>
  <c r="C160" i="39" s="1"/>
  <c r="B161" i="39"/>
  <c r="B162" i="39"/>
  <c r="C162" i="39" s="1"/>
  <c r="B163" i="39"/>
  <c r="C163" i="39" s="1"/>
  <c r="B164" i="39"/>
  <c r="C164" i="39" s="1"/>
  <c r="B165" i="39"/>
  <c r="C165" i="39" s="1"/>
  <c r="B166" i="39"/>
  <c r="C166" i="39" s="1"/>
  <c r="B167" i="39"/>
  <c r="D167" i="39" s="1"/>
  <c r="B168" i="39"/>
  <c r="C168" i="39" s="1"/>
  <c r="B169" i="39"/>
  <c r="C169" i="39" s="1"/>
  <c r="B170" i="39"/>
  <c r="D170" i="39" s="1"/>
  <c r="B171" i="39"/>
  <c r="C171" i="39" s="1"/>
  <c r="B172" i="39"/>
  <c r="C172" i="39" s="1"/>
  <c r="B173" i="39"/>
  <c r="D173" i="39" s="1"/>
  <c r="B174" i="39"/>
  <c r="C174" i="39" s="1"/>
  <c r="B175" i="39"/>
  <c r="C175" i="39" s="1"/>
  <c r="B176" i="39"/>
  <c r="D176" i="39" s="1"/>
  <c r="B177" i="39"/>
  <c r="C177" i="39" s="1"/>
  <c r="B178" i="39"/>
  <c r="C178" i="39" s="1"/>
  <c r="B179" i="39"/>
  <c r="D179" i="39" s="1"/>
  <c r="B180" i="39"/>
  <c r="C180" i="39" s="1"/>
  <c r="B181" i="39"/>
  <c r="C181" i="39" s="1"/>
  <c r="B182" i="39"/>
  <c r="D182" i="39" s="1"/>
  <c r="B183" i="39"/>
  <c r="C183" i="39" s="1"/>
  <c r="B184" i="39"/>
  <c r="C184" i="39" s="1"/>
  <c r="B185" i="39"/>
  <c r="D185" i="39" s="1"/>
  <c r="B186" i="39"/>
  <c r="C186" i="39" s="1"/>
  <c r="B187" i="39"/>
  <c r="C187" i="39" s="1"/>
  <c r="B188" i="39"/>
  <c r="D188" i="39" s="1"/>
  <c r="B189" i="39"/>
  <c r="C189" i="39" s="1"/>
  <c r="B190" i="39"/>
  <c r="C190" i="39" s="1"/>
  <c r="B191" i="39"/>
  <c r="D191" i="39" s="1"/>
  <c r="B192" i="39"/>
  <c r="C192" i="39" s="1"/>
  <c r="B193" i="39"/>
  <c r="C193" i="39" s="1"/>
  <c r="B194" i="39"/>
  <c r="D194" i="39" s="1"/>
  <c r="B195" i="39"/>
  <c r="C195" i="39" s="1"/>
  <c r="B196" i="39"/>
  <c r="C196" i="39" s="1"/>
  <c r="B197" i="39"/>
  <c r="D197" i="39" s="1"/>
  <c r="B198" i="39"/>
  <c r="C198" i="39" s="1"/>
  <c r="B199" i="39"/>
  <c r="C199" i="39" s="1"/>
  <c r="B200" i="39"/>
  <c r="D200" i="39" s="1"/>
  <c r="B201" i="39"/>
  <c r="C201" i="39" s="1"/>
  <c r="B202" i="39"/>
  <c r="C202" i="39" s="1"/>
  <c r="B203" i="39"/>
  <c r="D203" i="39" s="1"/>
  <c r="B204" i="39"/>
  <c r="C204" i="39" s="1"/>
  <c r="B205" i="39"/>
  <c r="C205" i="39" s="1"/>
  <c r="B206" i="39"/>
  <c r="D206" i="39" s="1"/>
  <c r="B207" i="39"/>
  <c r="C207" i="39" s="1"/>
  <c r="B208" i="39"/>
  <c r="C208" i="39" s="1"/>
  <c r="B209" i="39"/>
  <c r="D209" i="39" s="1"/>
  <c r="B210" i="39"/>
  <c r="C210" i="39" s="1"/>
  <c r="B211" i="39"/>
  <c r="C211" i="39" s="1"/>
  <c r="B212" i="39"/>
  <c r="D212" i="39" s="1"/>
  <c r="B213" i="39"/>
  <c r="C213" i="39" s="1"/>
  <c r="B214" i="39"/>
  <c r="C214" i="39" s="1"/>
  <c r="B215" i="39"/>
  <c r="D215" i="39" s="1"/>
  <c r="B216" i="39"/>
  <c r="C216" i="39" s="1"/>
  <c r="B217" i="39"/>
  <c r="C217" i="39" s="1"/>
  <c r="B218" i="39"/>
  <c r="D218" i="39" s="1"/>
  <c r="E218" i="39"/>
  <c r="B219" i="39"/>
  <c r="C219" i="39" s="1"/>
  <c r="B220" i="39"/>
  <c r="C220" i="39" s="1"/>
  <c r="B221" i="39"/>
  <c r="D221" i="39" s="1"/>
  <c r="E221" i="39"/>
  <c r="B222" i="39"/>
  <c r="C222" i="39" s="1"/>
  <c r="B223" i="39"/>
  <c r="C223" i="39" s="1"/>
  <c r="B224" i="39"/>
  <c r="D224" i="39" s="1"/>
  <c r="B225" i="39"/>
  <c r="C225" i="39" s="1"/>
  <c r="B226" i="39"/>
  <c r="C226" i="39" s="1"/>
  <c r="B227" i="39"/>
  <c r="D227" i="39" s="1"/>
  <c r="B228" i="39"/>
  <c r="C228" i="39" s="1"/>
  <c r="B229" i="39"/>
  <c r="C229" i="39" s="1"/>
  <c r="B230" i="39"/>
  <c r="D230" i="39" s="1"/>
  <c r="B231" i="39"/>
  <c r="C231" i="39" s="1"/>
  <c r="B232" i="39"/>
  <c r="C232" i="39" s="1"/>
  <c r="B233" i="39"/>
  <c r="D233" i="39" s="1"/>
  <c r="B234" i="39"/>
  <c r="C234" i="39" s="1"/>
  <c r="B235" i="39"/>
  <c r="C235" i="39" s="1"/>
  <c r="B236" i="39"/>
  <c r="D236" i="39" s="1"/>
  <c r="B237" i="39"/>
  <c r="C237" i="39" s="1"/>
  <c r="B238" i="39"/>
  <c r="C238" i="39" s="1"/>
  <c r="B239" i="39"/>
  <c r="D239" i="39" s="1"/>
  <c r="B240" i="39"/>
  <c r="C240" i="39" s="1"/>
  <c r="B241" i="39"/>
  <c r="C241" i="39" s="1"/>
  <c r="B242" i="39"/>
  <c r="D242" i="39" s="1"/>
  <c r="B243" i="39"/>
  <c r="C243" i="39" s="1"/>
  <c r="B244" i="39"/>
  <c r="C244" i="39" s="1"/>
  <c r="B245" i="39"/>
  <c r="D245" i="39" s="1"/>
  <c r="B246" i="39"/>
  <c r="C246" i="39" s="1"/>
  <c r="B247" i="39"/>
  <c r="C247" i="39" s="1"/>
  <c r="B248" i="39"/>
  <c r="D248" i="39" s="1"/>
  <c r="B249" i="39"/>
  <c r="C249" i="39" s="1"/>
  <c r="B250" i="39"/>
  <c r="C250" i="39" s="1"/>
  <c r="B251" i="39"/>
  <c r="D251" i="39" s="1"/>
  <c r="B252" i="39"/>
  <c r="C252" i="39" s="1"/>
  <c r="B253" i="39"/>
  <c r="C253" i="39" s="1"/>
  <c r="B254" i="39"/>
  <c r="D254" i="39" s="1"/>
  <c r="B255" i="39"/>
  <c r="C255" i="39" s="1"/>
  <c r="B256" i="39"/>
  <c r="C256" i="39" s="1"/>
  <c r="B257" i="39"/>
  <c r="D257" i="39" s="1"/>
  <c r="B258" i="39"/>
  <c r="C258" i="39" s="1"/>
  <c r="B259" i="39"/>
  <c r="C259" i="39" s="1"/>
  <c r="B260" i="39"/>
  <c r="D260" i="39" s="1"/>
  <c r="B261" i="39"/>
  <c r="C261" i="39" s="1"/>
  <c r="B262" i="39"/>
  <c r="C262" i="39" s="1"/>
  <c r="B263" i="39"/>
  <c r="D263" i="39" s="1"/>
  <c r="B264" i="39"/>
  <c r="C264" i="39" s="1"/>
  <c r="C251" i="39" l="1"/>
  <c r="E191" i="39"/>
  <c r="C257" i="39"/>
  <c r="E209" i="39"/>
  <c r="C248" i="39"/>
  <c r="E176" i="39"/>
  <c r="C236" i="39"/>
  <c r="E185" i="39"/>
  <c r="C176" i="39"/>
  <c r="C185" i="39"/>
  <c r="E242" i="39"/>
  <c r="E233" i="39"/>
  <c r="C242" i="39"/>
  <c r="C233" i="39"/>
  <c r="C212" i="39"/>
  <c r="E170" i="39"/>
  <c r="E257" i="39"/>
  <c r="E248" i="39"/>
  <c r="C188" i="39"/>
  <c r="C221" i="39"/>
  <c r="E200" i="39"/>
  <c r="C200" i="39"/>
  <c r="C197" i="39"/>
  <c r="C224" i="39"/>
  <c r="E215" i="39"/>
  <c r="C191" i="39"/>
  <c r="C215" i="39"/>
  <c r="D137" i="39"/>
  <c r="E137" i="39" s="1"/>
  <c r="E263" i="39"/>
  <c r="E206" i="39"/>
  <c r="E173" i="39"/>
  <c r="C263" i="39"/>
  <c r="C206" i="39"/>
  <c r="E197" i="39"/>
  <c r="E179" i="39"/>
  <c r="E245" i="39"/>
  <c r="E236" i="39"/>
  <c r="E212" i="39"/>
  <c r="C179" i="39"/>
  <c r="E227" i="39"/>
  <c r="C260" i="39"/>
  <c r="E251" i="39"/>
  <c r="C227" i="39"/>
  <c r="C161" i="39"/>
  <c r="D161" i="39" s="1"/>
  <c r="E161" i="39" s="1"/>
  <c r="C131" i="39"/>
  <c r="D142" i="39" s="1"/>
  <c r="E142" i="39" s="1"/>
  <c r="E254" i="39"/>
  <c r="E182" i="39"/>
  <c r="C254" i="39"/>
  <c r="E239" i="39"/>
  <c r="C218" i="39"/>
  <c r="E203" i="39"/>
  <c r="C182" i="39"/>
  <c r="E167" i="39"/>
  <c r="E260" i="39"/>
  <c r="C239" i="39"/>
  <c r="E224" i="39"/>
  <c r="C203" i="39"/>
  <c r="E188" i="39"/>
  <c r="C167" i="39"/>
  <c r="C245" i="39"/>
  <c r="E230" i="39"/>
  <c r="C209" i="39"/>
  <c r="E194" i="39"/>
  <c r="C173" i="39"/>
  <c r="C152" i="39"/>
  <c r="D152" i="39" s="1"/>
  <c r="E152" i="39" s="1"/>
  <c r="C146" i="39"/>
  <c r="D146" i="39" s="1"/>
  <c r="E146" i="39" s="1"/>
  <c r="C140" i="39"/>
  <c r="D140" i="39" s="1"/>
  <c r="E140" i="39" s="1"/>
  <c r="C134" i="39"/>
  <c r="D134" i="39" s="1"/>
  <c r="E134" i="39" s="1"/>
  <c r="C128" i="39"/>
  <c r="D128" i="39" s="1"/>
  <c r="E128" i="39" s="1"/>
  <c r="C122" i="39"/>
  <c r="C116" i="39"/>
  <c r="D164" i="39" s="1"/>
  <c r="E164" i="39" s="1"/>
  <c r="C230" i="39"/>
  <c r="C194" i="39"/>
  <c r="D148" i="39" s="1"/>
  <c r="E148" i="39" s="1"/>
  <c r="C158" i="39"/>
  <c r="D158" i="39" s="1"/>
  <c r="E158" i="39" s="1"/>
  <c r="C170" i="39"/>
  <c r="E259" i="39"/>
  <c r="E250" i="39"/>
  <c r="E244" i="39"/>
  <c r="E235" i="39"/>
  <c r="E226" i="39"/>
  <c r="E223" i="39"/>
  <c r="E214" i="39"/>
  <c r="E208" i="39"/>
  <c r="E202" i="39"/>
  <c r="E196" i="39"/>
  <c r="E190" i="39"/>
  <c r="E187" i="39"/>
  <c r="E184" i="39"/>
  <c r="E181" i="39"/>
  <c r="E178" i="39"/>
  <c r="E175" i="39"/>
  <c r="E172" i="39"/>
  <c r="E169" i="39"/>
  <c r="E166" i="39"/>
  <c r="E253" i="39"/>
  <c r="E238" i="39"/>
  <c r="E229" i="39"/>
  <c r="E220" i="39"/>
  <c r="E217" i="39"/>
  <c r="E211" i="39"/>
  <c r="E205" i="39"/>
  <c r="E193" i="39"/>
  <c r="D262" i="39"/>
  <c r="D259" i="39"/>
  <c r="D253" i="39"/>
  <c r="D247" i="39"/>
  <c r="D244" i="39"/>
  <c r="D241" i="39"/>
  <c r="D238" i="39"/>
  <c r="D235" i="39"/>
  <c r="D232" i="39"/>
  <c r="D229" i="39"/>
  <c r="D226" i="39"/>
  <c r="D223" i="39"/>
  <c r="D220" i="39"/>
  <c r="D217" i="39"/>
  <c r="D214" i="39"/>
  <c r="D211" i="39"/>
  <c r="D208" i="39"/>
  <c r="D205" i="39"/>
  <c r="D202" i="39"/>
  <c r="D199" i="39"/>
  <c r="D196" i="39"/>
  <c r="D193" i="39"/>
  <c r="D190" i="39"/>
  <c r="D187" i="39"/>
  <c r="D184" i="39"/>
  <c r="D181" i="39"/>
  <c r="D178" i="39"/>
  <c r="D175" i="39"/>
  <c r="D172" i="39"/>
  <c r="D169" i="39"/>
  <c r="D166" i="39"/>
  <c r="D145" i="39"/>
  <c r="E145" i="39" s="1"/>
  <c r="E262" i="39"/>
  <c r="E256" i="39"/>
  <c r="E247" i="39"/>
  <c r="E241" i="39"/>
  <c r="E232" i="39"/>
  <c r="E199" i="39"/>
  <c r="D256" i="39"/>
  <c r="D250" i="39"/>
  <c r="E261" i="39"/>
  <c r="E249" i="39"/>
  <c r="E240" i="39"/>
  <c r="E231" i="39"/>
  <c r="E222" i="39"/>
  <c r="E213" i="39"/>
  <c r="E201" i="39"/>
  <c r="E192" i="39"/>
  <c r="E183" i="39"/>
  <c r="E177" i="39"/>
  <c r="E171" i="39"/>
  <c r="E258" i="39"/>
  <c r="E252" i="39"/>
  <c r="E243" i="39"/>
  <c r="E234" i="39"/>
  <c r="E225" i="39"/>
  <c r="E219" i="39"/>
  <c r="E210" i="39"/>
  <c r="E204" i="39"/>
  <c r="E195" i="39"/>
  <c r="E189" i="39"/>
  <c r="E180" i="39"/>
  <c r="E174" i="39"/>
  <c r="E168" i="39"/>
  <c r="D264" i="39"/>
  <c r="D261" i="39"/>
  <c r="D258" i="39"/>
  <c r="D255" i="39"/>
  <c r="D252" i="39"/>
  <c r="D249" i="39"/>
  <c r="D246" i="39"/>
  <c r="D243" i="39"/>
  <c r="D240" i="39"/>
  <c r="D237" i="39"/>
  <c r="D234" i="39"/>
  <c r="D231" i="39"/>
  <c r="D228" i="39"/>
  <c r="D225" i="39"/>
  <c r="D222" i="39"/>
  <c r="D219" i="39"/>
  <c r="D216" i="39"/>
  <c r="D213" i="39"/>
  <c r="D210" i="39"/>
  <c r="D207" i="39"/>
  <c r="D204" i="39"/>
  <c r="D201" i="39"/>
  <c r="D198" i="39"/>
  <c r="D195" i="39"/>
  <c r="D192" i="39"/>
  <c r="D189" i="39"/>
  <c r="D186" i="39"/>
  <c r="D183" i="39"/>
  <c r="D180" i="39"/>
  <c r="D177" i="39"/>
  <c r="D174" i="39"/>
  <c r="D171" i="39"/>
  <c r="D168" i="39"/>
  <c r="D165" i="39"/>
  <c r="D153" i="39"/>
  <c r="E153" i="39" s="1"/>
  <c r="D150" i="39"/>
  <c r="E150" i="39" s="1"/>
  <c r="D117" i="39"/>
  <c r="E117" i="39" s="1"/>
  <c r="E264" i="39"/>
  <c r="E255" i="39"/>
  <c r="E246" i="39"/>
  <c r="E237" i="39"/>
  <c r="E228" i="39"/>
  <c r="E216" i="39"/>
  <c r="E207" i="39"/>
  <c r="E198" i="39"/>
  <c r="E186" i="39"/>
  <c r="E165" i="39"/>
  <c r="F83" i="26"/>
  <c r="D120" i="39" l="1"/>
  <c r="E120" i="39" s="1"/>
  <c r="D115" i="39"/>
  <c r="E115" i="39" s="1"/>
  <c r="D123" i="39"/>
  <c r="E123" i="39" s="1"/>
  <c r="D159" i="39"/>
  <c r="E159" i="39" s="1"/>
  <c r="D118" i="39"/>
  <c r="E118" i="39" s="1"/>
  <c r="D154" i="39"/>
  <c r="E154" i="39" s="1"/>
  <c r="D156" i="39"/>
  <c r="E156" i="39" s="1"/>
  <c r="D151" i="39"/>
  <c r="E151" i="39" s="1"/>
  <c r="D126" i="39"/>
  <c r="E126" i="39" s="1"/>
  <c r="D162" i="39"/>
  <c r="E162" i="39" s="1"/>
  <c r="D121" i="39"/>
  <c r="E121" i="39" s="1"/>
  <c r="D157" i="39"/>
  <c r="E157" i="39" s="1"/>
  <c r="D131" i="39"/>
  <c r="E131" i="39" s="1"/>
  <c r="D129" i="39"/>
  <c r="E129" i="39" s="1"/>
  <c r="D124" i="39"/>
  <c r="E124" i="39" s="1"/>
  <c r="D160" i="39"/>
  <c r="E160" i="39" s="1"/>
  <c r="D119" i="39"/>
  <c r="E119" i="39" s="1"/>
  <c r="D143" i="39"/>
  <c r="E143" i="39" s="1"/>
  <c r="D132" i="39"/>
  <c r="E132" i="39" s="1"/>
  <c r="D127" i="39"/>
  <c r="E127" i="39" s="1"/>
  <c r="D163" i="39"/>
  <c r="E163" i="39" s="1"/>
  <c r="D130" i="39"/>
  <c r="E130" i="39" s="1"/>
  <c r="D149" i="39"/>
  <c r="E149" i="39" s="1"/>
  <c r="D133" i="39"/>
  <c r="E133" i="39" s="1"/>
  <c r="D125" i="39"/>
  <c r="E125" i="39" s="1"/>
  <c r="D155" i="39"/>
  <c r="E155" i="39" s="1"/>
  <c r="D122" i="39"/>
  <c r="E122" i="39" s="1"/>
  <c r="D138" i="39"/>
  <c r="E138" i="39" s="1"/>
  <c r="D136" i="39"/>
  <c r="E136" i="39" s="1"/>
  <c r="D135" i="39"/>
  <c r="E135" i="39" s="1"/>
  <c r="D141" i="39"/>
  <c r="E141" i="39" s="1"/>
  <c r="D144" i="39"/>
  <c r="E144" i="39" s="1"/>
  <c r="D139" i="39"/>
  <c r="E139" i="39" s="1"/>
  <c r="D116" i="39"/>
  <c r="E116" i="39" s="1"/>
  <c r="D147" i="39"/>
  <c r="E147" i="39" s="1"/>
  <c r="D88" i="39"/>
  <c r="E88" i="39" s="1"/>
  <c r="D65" i="39"/>
  <c r="E65" i="39" s="1"/>
  <c r="D85" i="39"/>
  <c r="E85" i="39" s="1"/>
  <c r="D69" i="39"/>
  <c r="E69" i="39" s="1"/>
  <c r="D87" i="39"/>
  <c r="E87" i="39" s="1"/>
  <c r="D74" i="39"/>
  <c r="E74" i="39" s="1"/>
  <c r="D105" i="39"/>
  <c r="E105" i="39" s="1"/>
  <c r="D83" i="39"/>
  <c r="E83" i="39" s="1"/>
  <c r="D72" i="39"/>
  <c r="E72" i="39" s="1"/>
  <c r="D75" i="39"/>
  <c r="E75" i="39" s="1"/>
  <c r="D111" i="39"/>
  <c r="E111" i="39" s="1"/>
  <c r="D94" i="39"/>
  <c r="E94" i="39" s="1"/>
  <c r="D92" i="39"/>
  <c r="E92" i="39" s="1"/>
  <c r="D108" i="39"/>
  <c r="E108" i="39" s="1"/>
  <c r="D78" i="39"/>
  <c r="E78" i="39" s="1"/>
  <c r="D114" i="39"/>
  <c r="E114" i="39" s="1"/>
  <c r="D97" i="39"/>
  <c r="E97" i="39" s="1"/>
  <c r="D101" i="39"/>
  <c r="E101" i="39" s="1"/>
  <c r="D91" i="39"/>
  <c r="E91" i="39" s="1"/>
  <c r="D81" i="39"/>
  <c r="E81" i="39" s="1"/>
  <c r="D100" i="39"/>
  <c r="E100" i="39" s="1"/>
  <c r="D110" i="39"/>
  <c r="E110" i="39" s="1"/>
  <c r="D84" i="39"/>
  <c r="E84" i="39" s="1"/>
  <c r="D67" i="39"/>
  <c r="E67" i="39" s="1"/>
  <c r="D103" i="39"/>
  <c r="E103" i="39" s="1"/>
  <c r="D77" i="39"/>
  <c r="E77" i="39" s="1"/>
  <c r="D86" i="39"/>
  <c r="E86" i="39" s="1"/>
  <c r="D70" i="39"/>
  <c r="E70" i="39" s="1"/>
  <c r="D106" i="39"/>
  <c r="E106" i="39" s="1"/>
  <c r="D98" i="39"/>
  <c r="E98" i="39" s="1"/>
  <c r="D95" i="39"/>
  <c r="E95" i="39" s="1"/>
  <c r="D90" i="39"/>
  <c r="E90" i="39" s="1"/>
  <c r="D73" i="39"/>
  <c r="E73" i="39" s="1"/>
  <c r="D109" i="39"/>
  <c r="E109" i="39" s="1"/>
  <c r="D68" i="39"/>
  <c r="E68" i="39" s="1"/>
  <c r="D104" i="39"/>
  <c r="E104" i="39" s="1"/>
  <c r="D93" i="39"/>
  <c r="E93" i="39" s="1"/>
  <c r="D76" i="39"/>
  <c r="E76" i="39" s="1"/>
  <c r="D112" i="39"/>
  <c r="E112" i="39" s="1"/>
  <c r="D113" i="39"/>
  <c r="E113" i="39" s="1"/>
  <c r="D80" i="39"/>
  <c r="E80" i="39" s="1"/>
  <c r="D96" i="39"/>
  <c r="E96" i="39" s="1"/>
  <c r="D79" i="39"/>
  <c r="E79" i="39" s="1"/>
  <c r="D89" i="39"/>
  <c r="E89" i="39" s="1"/>
  <c r="D107" i="39"/>
  <c r="E107" i="39" s="1"/>
  <c r="D99" i="39"/>
  <c r="E99" i="39" s="1"/>
  <c r="D82" i="39"/>
  <c r="E82" i="39" s="1"/>
  <c r="D71" i="39"/>
  <c r="E71" i="39" s="1"/>
  <c r="D66" i="39"/>
  <c r="E66" i="39" s="1"/>
  <c r="D102" i="39"/>
  <c r="E102" i="39" s="1"/>
  <c r="F113" i="26"/>
  <c r="F112" i="26"/>
  <c r="D138" i="26"/>
  <c r="D137" i="26"/>
  <c r="F84" i="26"/>
  <c r="L16" i="39" l="1"/>
  <c r="B16" i="39"/>
  <c r="K16" i="39"/>
  <c r="H16" i="39"/>
  <c r="D16" i="39"/>
  <c r="C16" i="39"/>
  <c r="M16" i="39"/>
  <c r="J16" i="39"/>
  <c r="I16" i="39"/>
  <c r="G16" i="39"/>
  <c r="F16" i="39"/>
  <c r="E16" i="39"/>
  <c r="F18" i="26"/>
  <c r="F17" i="26"/>
  <c r="E59" i="26" s="1"/>
  <c r="F138" i="28"/>
  <c r="F137" i="28"/>
  <c r="H82" i="28"/>
  <c r="H81" i="28"/>
  <c r="E60" i="26" l="1"/>
  <c r="G53" i="28"/>
  <c r="G52" i="28"/>
  <c r="G20" i="28"/>
  <c r="G19" i="28"/>
  <c r="E19" i="35"/>
  <c r="K121" i="26" l="1"/>
  <c r="Q88" i="26"/>
  <c r="K92" i="26"/>
  <c r="E163" i="26" s="1"/>
  <c r="R146" i="26"/>
  <c r="D88" i="26" l="1"/>
  <c r="D19" i="30"/>
  <c r="E19" i="30"/>
  <c r="D20" i="30"/>
  <c r="E20" i="30"/>
  <c r="D21" i="30"/>
  <c r="E21" i="30"/>
  <c r="D22" i="30"/>
  <c r="E22" i="30"/>
  <c r="D23" i="30"/>
  <c r="E23" i="30"/>
  <c r="D24" i="30"/>
  <c r="E24" i="30"/>
  <c r="D25" i="30"/>
  <c r="E25" i="30"/>
  <c r="D26" i="30"/>
  <c r="E26" i="30"/>
  <c r="D27" i="30"/>
  <c r="E27" i="30"/>
  <c r="D28" i="30"/>
  <c r="E28" i="30"/>
  <c r="W332" i="35" l="1"/>
  <c r="V332" i="35"/>
  <c r="U332" i="35"/>
  <c r="T332" i="35"/>
  <c r="S332" i="35"/>
  <c r="R332" i="35"/>
  <c r="Q332" i="35"/>
  <c r="P332" i="35"/>
  <c r="O332" i="35"/>
  <c r="W331" i="35"/>
  <c r="V331" i="35"/>
  <c r="U331" i="35"/>
  <c r="T331" i="35"/>
  <c r="S331" i="35"/>
  <c r="R331" i="35"/>
  <c r="Q331" i="35"/>
  <c r="P331" i="35"/>
  <c r="O331" i="35"/>
  <c r="W330" i="35"/>
  <c r="V330" i="35"/>
  <c r="U330" i="35"/>
  <c r="T330" i="35"/>
  <c r="S330" i="35"/>
  <c r="R330" i="35"/>
  <c r="Q330" i="35"/>
  <c r="P330" i="35"/>
  <c r="O330" i="35"/>
  <c r="W329" i="35"/>
  <c r="V329" i="35"/>
  <c r="U329" i="35"/>
  <c r="T329" i="35"/>
  <c r="S329" i="35"/>
  <c r="R329" i="35"/>
  <c r="Q329" i="35"/>
  <c r="P329" i="35"/>
  <c r="O329" i="35"/>
  <c r="W325" i="35"/>
  <c r="V325" i="35"/>
  <c r="U325" i="35"/>
  <c r="T325" i="35"/>
  <c r="S325" i="35"/>
  <c r="R325" i="35"/>
  <c r="Q325" i="35"/>
  <c r="P325" i="35"/>
  <c r="O325" i="35"/>
  <c r="W324" i="35"/>
  <c r="V324" i="35"/>
  <c r="U324" i="35"/>
  <c r="T324" i="35"/>
  <c r="S324" i="35"/>
  <c r="R324" i="35"/>
  <c r="Q324" i="35"/>
  <c r="P324" i="35"/>
  <c r="O324" i="35"/>
  <c r="W323" i="35"/>
  <c r="V323" i="35"/>
  <c r="U323" i="35"/>
  <c r="T323" i="35"/>
  <c r="S323" i="35"/>
  <c r="R323" i="35"/>
  <c r="Q323" i="35"/>
  <c r="P323" i="35"/>
  <c r="O323" i="35"/>
  <c r="W322" i="35"/>
  <c r="V322" i="35"/>
  <c r="U322" i="35"/>
  <c r="T322" i="35"/>
  <c r="S322" i="35"/>
  <c r="R322" i="35"/>
  <c r="Q322" i="35"/>
  <c r="P322" i="35"/>
  <c r="O322" i="35"/>
  <c r="W234" i="35"/>
  <c r="V234" i="35"/>
  <c r="U234" i="35"/>
  <c r="T234" i="35"/>
  <c r="S234" i="35"/>
  <c r="R234" i="35"/>
  <c r="Q234" i="35"/>
  <c r="P234" i="35"/>
  <c r="O234" i="35"/>
  <c r="W233" i="35"/>
  <c r="V233" i="35"/>
  <c r="U233" i="35"/>
  <c r="T233" i="35"/>
  <c r="S233" i="35"/>
  <c r="R233" i="35"/>
  <c r="Q233" i="35"/>
  <c r="P233" i="35"/>
  <c r="O233" i="35"/>
  <c r="W232" i="35"/>
  <c r="V232" i="35"/>
  <c r="U232" i="35"/>
  <c r="T232" i="35"/>
  <c r="S232" i="35"/>
  <c r="R232" i="35"/>
  <c r="Q232" i="35"/>
  <c r="P232" i="35"/>
  <c r="O232" i="35"/>
  <c r="W231" i="35"/>
  <c r="V231" i="35"/>
  <c r="U231" i="35"/>
  <c r="T231" i="35"/>
  <c r="S231" i="35"/>
  <c r="R231" i="35"/>
  <c r="Q231" i="35"/>
  <c r="P231" i="35"/>
  <c r="O231" i="35"/>
  <c r="W225" i="35"/>
  <c r="W226" i="35"/>
  <c r="W227" i="35"/>
  <c r="W224" i="35"/>
  <c r="V225" i="35"/>
  <c r="V226" i="35"/>
  <c r="V227" i="35"/>
  <c r="V224" i="35"/>
  <c r="U225" i="35"/>
  <c r="U226" i="35"/>
  <c r="U227" i="35"/>
  <c r="U224" i="35"/>
  <c r="T225" i="35"/>
  <c r="T226" i="35"/>
  <c r="T227" i="35"/>
  <c r="T224" i="35"/>
  <c r="S225" i="35"/>
  <c r="S226" i="35"/>
  <c r="S227" i="35"/>
  <c r="S224" i="35"/>
  <c r="R225" i="35"/>
  <c r="R226" i="35"/>
  <c r="R227" i="35"/>
  <c r="R224" i="35"/>
  <c r="Q225" i="35"/>
  <c r="Q226" i="35"/>
  <c r="Q227" i="35"/>
  <c r="Q224" i="35"/>
  <c r="P225" i="35"/>
  <c r="P226" i="35"/>
  <c r="P227" i="35"/>
  <c r="P224" i="35"/>
  <c r="O225" i="35"/>
  <c r="O226" i="35"/>
  <c r="O227" i="35"/>
  <c r="O224" i="35"/>
  <c r="W199" i="35"/>
  <c r="V199" i="35"/>
  <c r="U199" i="35"/>
  <c r="T199" i="35"/>
  <c r="S199" i="35"/>
  <c r="R199" i="35"/>
  <c r="Q199" i="35"/>
  <c r="P199" i="35"/>
  <c r="O199" i="35"/>
  <c r="W198" i="35"/>
  <c r="V198" i="35"/>
  <c r="U198" i="35"/>
  <c r="T198" i="35"/>
  <c r="S198" i="35"/>
  <c r="R198" i="35"/>
  <c r="Q198" i="35"/>
  <c r="P198" i="35"/>
  <c r="O198" i="35"/>
  <c r="W197" i="35"/>
  <c r="V197" i="35"/>
  <c r="U197" i="35"/>
  <c r="T197" i="35"/>
  <c r="S197" i="35"/>
  <c r="R197" i="35"/>
  <c r="Q197" i="35"/>
  <c r="P197" i="35"/>
  <c r="O197" i="35"/>
  <c r="W196" i="35"/>
  <c r="V196" i="35"/>
  <c r="U196" i="35"/>
  <c r="T196" i="35"/>
  <c r="S196" i="35"/>
  <c r="R196" i="35"/>
  <c r="Q196" i="35"/>
  <c r="P196" i="35"/>
  <c r="O196" i="35"/>
  <c r="U190" i="35"/>
  <c r="W190" i="35"/>
  <c r="W191" i="35"/>
  <c r="W192" i="35"/>
  <c r="W189" i="35"/>
  <c r="V190" i="35"/>
  <c r="V191" i="35"/>
  <c r="V192" i="35"/>
  <c r="V189" i="35"/>
  <c r="U191" i="35"/>
  <c r="U192" i="35"/>
  <c r="U189" i="35"/>
  <c r="T190" i="35"/>
  <c r="T191" i="35"/>
  <c r="T192" i="35"/>
  <c r="T189" i="35"/>
  <c r="S190" i="35"/>
  <c r="S191" i="35"/>
  <c r="S192" i="35"/>
  <c r="S189" i="35"/>
  <c r="R190" i="35"/>
  <c r="R191" i="35"/>
  <c r="R192" i="35"/>
  <c r="R189" i="35"/>
  <c r="Q190" i="35"/>
  <c r="Q191" i="35"/>
  <c r="Q192" i="35"/>
  <c r="Q189" i="35"/>
  <c r="P190" i="35"/>
  <c r="P191" i="35"/>
  <c r="P192" i="35"/>
  <c r="P189" i="35"/>
  <c r="O190" i="35"/>
  <c r="O191" i="35"/>
  <c r="O192" i="35"/>
  <c r="O189" i="35"/>
  <c r="V163" i="35"/>
  <c r="S156" i="35"/>
  <c r="W164" i="35"/>
  <c r="V164" i="35"/>
  <c r="U164" i="35"/>
  <c r="T164" i="35"/>
  <c r="S164" i="35"/>
  <c r="R164" i="35"/>
  <c r="Q164" i="35"/>
  <c r="P164" i="35"/>
  <c r="O164" i="35"/>
  <c r="W163" i="35"/>
  <c r="U163" i="35"/>
  <c r="T163" i="35"/>
  <c r="S163" i="35"/>
  <c r="R163" i="35"/>
  <c r="Q163" i="35"/>
  <c r="P163" i="35"/>
  <c r="O163" i="35"/>
  <c r="W162" i="35"/>
  <c r="V162" i="35"/>
  <c r="U162" i="35"/>
  <c r="T162" i="35"/>
  <c r="S162" i="35"/>
  <c r="R162" i="35"/>
  <c r="Q162" i="35"/>
  <c r="P162" i="35"/>
  <c r="O162" i="35"/>
  <c r="W161" i="35"/>
  <c r="V161" i="35"/>
  <c r="U161" i="35"/>
  <c r="T161" i="35"/>
  <c r="S161" i="35"/>
  <c r="R161" i="35"/>
  <c r="Q161" i="35"/>
  <c r="P161" i="35"/>
  <c r="O161" i="35"/>
  <c r="W155" i="35"/>
  <c r="W156" i="35"/>
  <c r="W157" i="35"/>
  <c r="W154" i="35"/>
  <c r="V155" i="35"/>
  <c r="V156" i="35"/>
  <c r="V157" i="35"/>
  <c r="V154" i="35"/>
  <c r="U155" i="35"/>
  <c r="U156" i="35"/>
  <c r="U157" i="35"/>
  <c r="U154" i="35"/>
  <c r="T155" i="35"/>
  <c r="T156" i="35"/>
  <c r="T157" i="35"/>
  <c r="T154" i="35"/>
  <c r="S155" i="35"/>
  <c r="S157" i="35"/>
  <c r="S154" i="35"/>
  <c r="R155" i="35"/>
  <c r="R156" i="35"/>
  <c r="R157" i="35"/>
  <c r="R154" i="35"/>
  <c r="Q155" i="35"/>
  <c r="Q156" i="35"/>
  <c r="Q157" i="35"/>
  <c r="Q154" i="35"/>
  <c r="P155" i="35"/>
  <c r="P156" i="35"/>
  <c r="P157" i="35"/>
  <c r="P154" i="35"/>
  <c r="O154" i="35"/>
  <c r="O155" i="35"/>
  <c r="O156" i="35"/>
  <c r="O157" i="35"/>
  <c r="G70" i="35" l="1"/>
  <c r="H70" i="35"/>
  <c r="I70" i="35"/>
  <c r="J70" i="35"/>
  <c r="J316" i="35" s="1"/>
  <c r="K70" i="35"/>
  <c r="K316" i="35" s="1"/>
  <c r="L70" i="35"/>
  <c r="M70" i="35"/>
  <c r="M316" i="35" s="1"/>
  <c r="N70" i="35"/>
  <c r="N316" i="35" s="1"/>
  <c r="F70" i="35"/>
  <c r="N69" i="35"/>
  <c r="N315" i="35" s="1"/>
  <c r="G69" i="35"/>
  <c r="G315" i="35" s="1"/>
  <c r="H69" i="35"/>
  <c r="H315" i="35" s="1"/>
  <c r="I69" i="35"/>
  <c r="I315" i="35" s="1"/>
  <c r="J69" i="35"/>
  <c r="J315" i="35" s="1"/>
  <c r="K69" i="35"/>
  <c r="K315" i="35" s="1"/>
  <c r="L69" i="35"/>
  <c r="L315" i="35" s="1"/>
  <c r="M69" i="35"/>
  <c r="M315" i="35" s="1"/>
  <c r="F69" i="35"/>
  <c r="F315" i="35" s="1"/>
  <c r="F142" i="35"/>
  <c r="F345" i="35"/>
  <c r="F339" i="35"/>
  <c r="F340" i="35"/>
  <c r="F341" i="35"/>
  <c r="G339" i="35"/>
  <c r="G340" i="35"/>
  <c r="G341" i="35"/>
  <c r="H339" i="35"/>
  <c r="H340" i="35"/>
  <c r="H341" i="35"/>
  <c r="I339" i="35"/>
  <c r="I340" i="35"/>
  <c r="I341" i="35"/>
  <c r="J339" i="35"/>
  <c r="J340" i="35"/>
  <c r="J341" i="35"/>
  <c r="K339" i="35"/>
  <c r="K340" i="35"/>
  <c r="K341" i="35"/>
  <c r="L339" i="35"/>
  <c r="L340" i="35"/>
  <c r="L341" i="35"/>
  <c r="M339" i="35"/>
  <c r="M340" i="35"/>
  <c r="M341" i="35"/>
  <c r="N339" i="35"/>
  <c r="N340" i="35"/>
  <c r="N341" i="35"/>
  <c r="N338" i="35"/>
  <c r="G338" i="35"/>
  <c r="H338" i="35"/>
  <c r="I338" i="35"/>
  <c r="J338" i="35"/>
  <c r="K338" i="35"/>
  <c r="L338" i="35"/>
  <c r="M338" i="35"/>
  <c r="F338" i="35"/>
  <c r="E309" i="35"/>
  <c r="E84" i="35"/>
  <c r="N115" i="35"/>
  <c r="N113" i="35"/>
  <c r="N114" i="35"/>
  <c r="M113" i="35"/>
  <c r="M114" i="35"/>
  <c r="M115" i="35"/>
  <c r="L113" i="35"/>
  <c r="L114" i="35"/>
  <c r="L115" i="35"/>
  <c r="K113" i="35"/>
  <c r="K114" i="35"/>
  <c r="K115" i="35"/>
  <c r="J113" i="35"/>
  <c r="J114" i="35"/>
  <c r="J115" i="35"/>
  <c r="I113" i="35"/>
  <c r="I114" i="35"/>
  <c r="I115" i="35"/>
  <c r="H113" i="35"/>
  <c r="H114" i="35"/>
  <c r="H115" i="35"/>
  <c r="G113" i="35"/>
  <c r="G114" i="35"/>
  <c r="G115" i="35"/>
  <c r="F113" i="35"/>
  <c r="F114" i="35"/>
  <c r="F115" i="35"/>
  <c r="G112" i="35"/>
  <c r="H112" i="35"/>
  <c r="I112" i="35"/>
  <c r="J112" i="35"/>
  <c r="K112" i="35"/>
  <c r="L112" i="35"/>
  <c r="M112" i="35"/>
  <c r="N112" i="35"/>
  <c r="F112" i="35"/>
  <c r="N56" i="35"/>
  <c r="N57" i="35"/>
  <c r="N58" i="35"/>
  <c r="N59" i="35"/>
  <c r="N60" i="35"/>
  <c r="N61" i="35"/>
  <c r="N62" i="35"/>
  <c r="N63" i="35"/>
  <c r="N64" i="35"/>
  <c r="M56" i="35"/>
  <c r="M57" i="35"/>
  <c r="M58" i="35"/>
  <c r="M59" i="35"/>
  <c r="M60" i="35"/>
  <c r="M61" i="35"/>
  <c r="M62" i="35"/>
  <c r="M63" i="35"/>
  <c r="M64" i="35"/>
  <c r="L56" i="35"/>
  <c r="L57" i="35"/>
  <c r="L58" i="35"/>
  <c r="L59" i="35"/>
  <c r="L60" i="35"/>
  <c r="L61" i="35"/>
  <c r="L62" i="35"/>
  <c r="L63" i="35"/>
  <c r="L64" i="35"/>
  <c r="K56" i="35"/>
  <c r="K57" i="35"/>
  <c r="K58" i="35"/>
  <c r="K59" i="35"/>
  <c r="K60" i="35"/>
  <c r="K61" i="35"/>
  <c r="K62" i="35"/>
  <c r="K63" i="35"/>
  <c r="K64" i="35"/>
  <c r="J56" i="35"/>
  <c r="J57" i="35"/>
  <c r="J58" i="35"/>
  <c r="J59" i="35"/>
  <c r="J60" i="35"/>
  <c r="J61" i="35"/>
  <c r="J62" i="35"/>
  <c r="J63" i="35"/>
  <c r="J64" i="35"/>
  <c r="I56" i="35"/>
  <c r="I57" i="35"/>
  <c r="I58" i="35"/>
  <c r="I59" i="35"/>
  <c r="I60" i="35"/>
  <c r="I61" i="35"/>
  <c r="I62" i="35"/>
  <c r="I63" i="35"/>
  <c r="I64" i="35"/>
  <c r="H56" i="35"/>
  <c r="H57" i="35"/>
  <c r="H58" i="35"/>
  <c r="H59" i="35"/>
  <c r="H60" i="35"/>
  <c r="H61" i="35"/>
  <c r="H62" i="35"/>
  <c r="H63" i="35"/>
  <c r="H64" i="35"/>
  <c r="G56" i="35"/>
  <c r="G57" i="35"/>
  <c r="G58" i="35"/>
  <c r="G59" i="35"/>
  <c r="G60" i="35"/>
  <c r="G61" i="35"/>
  <c r="G62" i="35"/>
  <c r="G63" i="35"/>
  <c r="G64" i="35"/>
  <c r="F56" i="35"/>
  <c r="F57" i="35"/>
  <c r="F58" i="35"/>
  <c r="F59" i="35"/>
  <c r="F60" i="35"/>
  <c r="F61" i="35"/>
  <c r="F62" i="35"/>
  <c r="F63" i="35"/>
  <c r="F64" i="35"/>
  <c r="F355" i="35"/>
  <c r="G55" i="35"/>
  <c r="H55" i="35"/>
  <c r="I55" i="35"/>
  <c r="J55" i="35"/>
  <c r="K55" i="35"/>
  <c r="L55" i="35"/>
  <c r="M55" i="35"/>
  <c r="N55" i="35"/>
  <c r="F55" i="35"/>
  <c r="P13" i="35" l="1"/>
  <c r="V34" i="35" s="1"/>
  <c r="Q13" i="35"/>
  <c r="I148" i="35"/>
  <c r="I316" i="35"/>
  <c r="H148" i="35"/>
  <c r="H316" i="35"/>
  <c r="G148" i="35"/>
  <c r="G316" i="35"/>
  <c r="I13" i="35"/>
  <c r="F316" i="35"/>
  <c r="L148" i="35"/>
  <c r="L316" i="35"/>
  <c r="J90" i="35"/>
  <c r="J148" i="35"/>
  <c r="J89" i="35"/>
  <c r="J147" i="35"/>
  <c r="K89" i="35"/>
  <c r="K147" i="35"/>
  <c r="I89" i="35"/>
  <c r="I147" i="35"/>
  <c r="L89" i="35"/>
  <c r="L147" i="35"/>
  <c r="H89" i="35"/>
  <c r="H147" i="35"/>
  <c r="G89" i="35"/>
  <c r="G147" i="35"/>
  <c r="N89" i="35"/>
  <c r="N147" i="35"/>
  <c r="F90" i="35"/>
  <c r="F148" i="35"/>
  <c r="N90" i="35"/>
  <c r="N148" i="35"/>
  <c r="M90" i="35"/>
  <c r="M148" i="35"/>
  <c r="F89" i="35"/>
  <c r="F147" i="35"/>
  <c r="M89" i="35"/>
  <c r="M147" i="35"/>
  <c r="K90" i="35"/>
  <c r="K148" i="35"/>
  <c r="N13" i="35"/>
  <c r="M13" i="35"/>
  <c r="K13" i="35"/>
  <c r="H90" i="35"/>
  <c r="J13" i="35"/>
  <c r="G90" i="35"/>
  <c r="L13" i="35"/>
  <c r="I90" i="35"/>
  <c r="O13" i="35"/>
  <c r="L90" i="35"/>
  <c r="AA148" i="28"/>
  <c r="AA147" i="28"/>
  <c r="T153" i="28"/>
  <c r="S153" i="28"/>
  <c r="T152" i="28"/>
  <c r="S152" i="28"/>
  <c r="AA113" i="28"/>
  <c r="AA112" i="28"/>
  <c r="AA105" i="28"/>
  <c r="AA104" i="28"/>
  <c r="AA97" i="28"/>
  <c r="AA96" i="28"/>
  <c r="AA89" i="28"/>
  <c r="AA88" i="28"/>
  <c r="T118" i="28"/>
  <c r="S118" i="28"/>
  <c r="T117" i="28"/>
  <c r="S117" i="28"/>
  <c r="T116" i="28"/>
  <c r="S116" i="28"/>
  <c r="T115" i="28"/>
  <c r="S115" i="28"/>
  <c r="T110" i="28"/>
  <c r="S110" i="28"/>
  <c r="T109" i="28"/>
  <c r="S109" i="28"/>
  <c r="T108" i="28"/>
  <c r="S108" i="28"/>
  <c r="T107" i="28"/>
  <c r="S107" i="28"/>
  <c r="T102" i="28"/>
  <c r="S102" i="28"/>
  <c r="T101" i="28"/>
  <c r="S101" i="28"/>
  <c r="T100" i="28"/>
  <c r="S100" i="28"/>
  <c r="T99" i="28"/>
  <c r="S99" i="28"/>
  <c r="T93" i="28"/>
  <c r="T94" i="28"/>
  <c r="S93" i="28"/>
  <c r="S94" i="28"/>
  <c r="V27" i="35" l="1"/>
  <c r="W269" i="35"/>
  <c r="W259" i="35"/>
  <c r="W268" i="35"/>
  <c r="W104" i="35"/>
  <c r="W267" i="35"/>
  <c r="W266" i="35"/>
  <c r="W103" i="35"/>
  <c r="W96" i="35"/>
  <c r="W261" i="35"/>
  <c r="W262" i="35"/>
  <c r="W106" i="35"/>
  <c r="W260" i="35"/>
  <c r="W105" i="35"/>
  <c r="W97" i="35"/>
  <c r="W98" i="35"/>
  <c r="W99" i="35"/>
  <c r="V28" i="35"/>
  <c r="T99" i="35"/>
  <c r="T262" i="35"/>
  <c r="T261" i="35"/>
  <c r="T260" i="35"/>
  <c r="T269" i="35"/>
  <c r="T259" i="35"/>
  <c r="T268" i="35"/>
  <c r="T267" i="35"/>
  <c r="T266" i="35"/>
  <c r="P41" i="35"/>
  <c r="P268" i="35"/>
  <c r="P266" i="35"/>
  <c r="P267" i="35"/>
  <c r="P262" i="35"/>
  <c r="P261" i="35"/>
  <c r="P260" i="35"/>
  <c r="P259" i="35"/>
  <c r="P269" i="35"/>
  <c r="V29" i="35"/>
  <c r="O44" i="35"/>
  <c r="O269" i="35"/>
  <c r="O268" i="35"/>
  <c r="O267" i="35"/>
  <c r="O266" i="35"/>
  <c r="O260" i="35"/>
  <c r="O259" i="35"/>
  <c r="O262" i="35"/>
  <c r="O261" i="35"/>
  <c r="T98" i="35"/>
  <c r="O106" i="35"/>
  <c r="V30" i="35"/>
  <c r="U29" i="35"/>
  <c r="U261" i="35"/>
  <c r="U259" i="35"/>
  <c r="U260" i="35"/>
  <c r="U269" i="35"/>
  <c r="U268" i="35"/>
  <c r="U267" i="35"/>
  <c r="U266" i="35"/>
  <c r="U262" i="35"/>
  <c r="R98" i="35"/>
  <c r="R266" i="35"/>
  <c r="R262" i="35"/>
  <c r="R261" i="35"/>
  <c r="R268" i="35"/>
  <c r="R260" i="35"/>
  <c r="R259" i="35"/>
  <c r="R267" i="35"/>
  <c r="R269" i="35"/>
  <c r="T96" i="35"/>
  <c r="Q267" i="35"/>
  <c r="Q266" i="35"/>
  <c r="Q262" i="35"/>
  <c r="Q259" i="35"/>
  <c r="Q261" i="35"/>
  <c r="Q260" i="35"/>
  <c r="Q268" i="35"/>
  <c r="Q269" i="35"/>
  <c r="O105" i="35"/>
  <c r="S261" i="35"/>
  <c r="S262" i="35"/>
  <c r="S260" i="35"/>
  <c r="S266" i="35"/>
  <c r="S269" i="35"/>
  <c r="S259" i="35"/>
  <c r="S268" i="35"/>
  <c r="S267" i="35"/>
  <c r="V33" i="35"/>
  <c r="V260" i="35"/>
  <c r="V105" i="35"/>
  <c r="V268" i="35"/>
  <c r="V269" i="35"/>
  <c r="V259" i="35"/>
  <c r="V267" i="35"/>
  <c r="V266" i="35"/>
  <c r="V103" i="35"/>
  <c r="V262" i="35"/>
  <c r="V106" i="35"/>
  <c r="V104" i="35"/>
  <c r="V261" i="35"/>
  <c r="V96" i="35"/>
  <c r="V97" i="35"/>
  <c r="V98" i="35"/>
  <c r="V99" i="35"/>
  <c r="V31" i="35"/>
  <c r="V32" i="35"/>
  <c r="V26" i="35"/>
  <c r="W46" i="35"/>
  <c r="W42" i="35"/>
  <c r="W41" i="35"/>
  <c r="W49" i="35"/>
  <c r="W48" i="35"/>
  <c r="W44" i="35"/>
  <c r="W40" i="35"/>
  <c r="W47" i="35"/>
  <c r="W43" i="35"/>
  <c r="W45" i="35"/>
  <c r="V25" i="35"/>
  <c r="V46" i="35"/>
  <c r="V42" i="35"/>
  <c r="V49" i="35"/>
  <c r="V45" i="35"/>
  <c r="V41" i="35"/>
  <c r="V48" i="35"/>
  <c r="V44" i="35"/>
  <c r="V40" i="35"/>
  <c r="V47" i="35"/>
  <c r="V43" i="35"/>
  <c r="W33" i="35"/>
  <c r="W34" i="35"/>
  <c r="W31" i="35"/>
  <c r="W32" i="35"/>
  <c r="W30" i="35"/>
  <c r="W29" i="35"/>
  <c r="W27" i="35"/>
  <c r="W28" i="35"/>
  <c r="W25" i="35"/>
  <c r="W26" i="35"/>
  <c r="U116" i="28"/>
  <c r="T47" i="35"/>
  <c r="O47" i="35"/>
  <c r="T46" i="35"/>
  <c r="O40" i="35"/>
  <c r="O30" i="35"/>
  <c r="O27" i="35"/>
  <c r="O43" i="35"/>
  <c r="O49" i="35"/>
  <c r="O41" i="35"/>
  <c r="O28" i="35"/>
  <c r="O33" i="35"/>
  <c r="O29" i="35"/>
  <c r="O31" i="35"/>
  <c r="O34" i="35"/>
  <c r="O32" i="35"/>
  <c r="O26" i="35"/>
  <c r="O25" i="35"/>
  <c r="O104" i="35"/>
  <c r="O98" i="35"/>
  <c r="O99" i="35"/>
  <c r="O97" i="35"/>
  <c r="O103" i="35"/>
  <c r="O96" i="35"/>
  <c r="O46" i="35"/>
  <c r="O45" i="35"/>
  <c r="O48" i="35"/>
  <c r="O42" i="35"/>
  <c r="T41" i="35"/>
  <c r="T25" i="35"/>
  <c r="T28" i="35"/>
  <c r="R40" i="35"/>
  <c r="U45" i="35"/>
  <c r="U42" i="35"/>
  <c r="U34" i="35"/>
  <c r="P98" i="35"/>
  <c r="P104" i="35"/>
  <c r="P106" i="35"/>
  <c r="P103" i="35"/>
  <c r="P105" i="35"/>
  <c r="R43" i="35"/>
  <c r="U44" i="35"/>
  <c r="S27" i="35"/>
  <c r="S105" i="35"/>
  <c r="S106" i="35"/>
  <c r="S103" i="35"/>
  <c r="S104" i="35"/>
  <c r="U48" i="35"/>
  <c r="R99" i="35"/>
  <c r="R104" i="35"/>
  <c r="R105" i="35"/>
  <c r="R106" i="35"/>
  <c r="R103" i="35"/>
  <c r="P31" i="35"/>
  <c r="Q104" i="35"/>
  <c r="Q105" i="35"/>
  <c r="Q106" i="35"/>
  <c r="Q103" i="35"/>
  <c r="U26" i="35"/>
  <c r="T43" i="35"/>
  <c r="T105" i="35"/>
  <c r="T106" i="35"/>
  <c r="T103" i="35"/>
  <c r="T104" i="35"/>
  <c r="R46" i="35"/>
  <c r="U47" i="35"/>
  <c r="R45" i="35"/>
  <c r="U96" i="35"/>
  <c r="U105" i="35"/>
  <c r="U103" i="35"/>
  <c r="U104" i="35"/>
  <c r="U106" i="35"/>
  <c r="U30" i="35"/>
  <c r="T26" i="35"/>
  <c r="S33" i="35"/>
  <c r="U33" i="35"/>
  <c r="U43" i="35"/>
  <c r="T48" i="35"/>
  <c r="U40" i="35"/>
  <c r="R97" i="35"/>
  <c r="T27" i="35"/>
  <c r="U31" i="35"/>
  <c r="T45" i="35"/>
  <c r="U27" i="35"/>
  <c r="U99" i="35"/>
  <c r="U46" i="35"/>
  <c r="R25" i="35"/>
  <c r="P48" i="35"/>
  <c r="U32" i="35"/>
  <c r="T42" i="35"/>
  <c r="R26" i="35"/>
  <c r="U41" i="35"/>
  <c r="T32" i="35"/>
  <c r="U25" i="35"/>
  <c r="R29" i="35"/>
  <c r="U28" i="35"/>
  <c r="P29" i="35"/>
  <c r="R32" i="35"/>
  <c r="R30" i="35"/>
  <c r="U49" i="35"/>
  <c r="R49" i="35"/>
  <c r="P25" i="35"/>
  <c r="P49" i="35"/>
  <c r="P28" i="35"/>
  <c r="P44" i="35"/>
  <c r="Q46" i="35"/>
  <c r="P46" i="35"/>
  <c r="P96" i="35"/>
  <c r="P40" i="35"/>
  <c r="P33" i="35"/>
  <c r="S48" i="35"/>
  <c r="Q28" i="35"/>
  <c r="Q96" i="35"/>
  <c r="Q48" i="35"/>
  <c r="S32" i="35"/>
  <c r="S42" i="35"/>
  <c r="T44" i="35"/>
  <c r="S26" i="35"/>
  <c r="T29" i="35"/>
  <c r="R31" i="35"/>
  <c r="S29" i="35"/>
  <c r="T30" i="35"/>
  <c r="P43" i="35"/>
  <c r="R28" i="35"/>
  <c r="R44" i="35"/>
  <c r="T34" i="35"/>
  <c r="R33" i="35"/>
  <c r="P99" i="35"/>
  <c r="S47" i="35"/>
  <c r="Q40" i="35"/>
  <c r="S44" i="35"/>
  <c r="Q27" i="35"/>
  <c r="Q31" i="35"/>
  <c r="Q33" i="35"/>
  <c r="S97" i="35"/>
  <c r="R47" i="35"/>
  <c r="Q25" i="35"/>
  <c r="P97" i="35"/>
  <c r="S99" i="35"/>
  <c r="Q45" i="35"/>
  <c r="R34" i="35"/>
  <c r="T31" i="35"/>
  <c r="S41" i="35"/>
  <c r="Q30" i="35"/>
  <c r="R41" i="35"/>
  <c r="S25" i="35"/>
  <c r="S49" i="35"/>
  <c r="T97" i="35"/>
  <c r="Q47" i="35"/>
  <c r="S46" i="35"/>
  <c r="Q97" i="35"/>
  <c r="Q32" i="35"/>
  <c r="Q44" i="35"/>
  <c r="S43" i="35"/>
  <c r="P34" i="35"/>
  <c r="P30" i="35"/>
  <c r="P26" i="35"/>
  <c r="S34" i="35"/>
  <c r="R42" i="35"/>
  <c r="P32" i="35"/>
  <c r="Q41" i="35"/>
  <c r="T49" i="35"/>
  <c r="S40" i="35"/>
  <c r="Q98" i="35"/>
  <c r="P42" i="35"/>
  <c r="S96" i="35"/>
  <c r="T40" i="35"/>
  <c r="Q49" i="35"/>
  <c r="Q26" i="35"/>
  <c r="S30" i="35"/>
  <c r="S98" i="35"/>
  <c r="P45" i="35"/>
  <c r="T33" i="35"/>
  <c r="P27" i="35"/>
  <c r="P47" i="35"/>
  <c r="R48" i="35"/>
  <c r="Q29" i="35"/>
  <c r="R27" i="35"/>
  <c r="Q99" i="35"/>
  <c r="U98" i="35"/>
  <c r="S45" i="35"/>
  <c r="Q34" i="35"/>
  <c r="Q42" i="35"/>
  <c r="Q43" i="35"/>
  <c r="S28" i="35"/>
  <c r="S31" i="35"/>
  <c r="U97" i="35"/>
  <c r="R96" i="35"/>
  <c r="U107" i="28"/>
  <c r="U117" i="28"/>
  <c r="U153" i="28"/>
  <c r="U152" i="28"/>
  <c r="U115" i="28"/>
  <c r="U118" i="28"/>
  <c r="U108" i="28"/>
  <c r="U100" i="28"/>
  <c r="U109" i="28"/>
  <c r="U110" i="28"/>
  <c r="U101" i="28"/>
  <c r="U94" i="28"/>
  <c r="U99" i="28"/>
  <c r="U102" i="28"/>
  <c r="U93" i="28"/>
  <c r="AA60" i="28"/>
  <c r="AA59" i="28"/>
  <c r="G67" i="28" s="1"/>
  <c r="T64" i="28"/>
  <c r="T65" i="28"/>
  <c r="S64" i="28"/>
  <c r="S65" i="28"/>
  <c r="T151" i="28"/>
  <c r="S151" i="28"/>
  <c r="T150" i="28"/>
  <c r="S150" i="28"/>
  <c r="T92" i="28"/>
  <c r="S92" i="28"/>
  <c r="T91" i="28"/>
  <c r="S91" i="28"/>
  <c r="T63" i="28"/>
  <c r="S63" i="28"/>
  <c r="T62" i="28"/>
  <c r="S62" i="28"/>
  <c r="N71" i="35" l="1"/>
  <c r="U64" i="28"/>
  <c r="U65" i="28"/>
  <c r="U151" i="28"/>
  <c r="U150" i="28"/>
  <c r="U92" i="28"/>
  <c r="U91" i="28"/>
  <c r="U62" i="28"/>
  <c r="U63" i="28"/>
  <c r="T25" i="28"/>
  <c r="S25" i="28"/>
  <c r="T26" i="28"/>
  <c r="T27" i="28"/>
  <c r="T28" i="28"/>
  <c r="T29" i="28"/>
  <c r="T30" i="28"/>
  <c r="T31" i="28"/>
  <c r="T32" i="28"/>
  <c r="T33" i="28"/>
  <c r="T34" i="28"/>
  <c r="S26" i="28"/>
  <c r="S27" i="28"/>
  <c r="S28" i="28"/>
  <c r="S29" i="28"/>
  <c r="S30" i="28"/>
  <c r="S31" i="28"/>
  <c r="S32" i="28"/>
  <c r="S33" i="28"/>
  <c r="S34" i="28"/>
  <c r="U25" i="28" l="1"/>
  <c r="U30" i="28"/>
  <c r="U28" i="28"/>
  <c r="U31" i="28"/>
  <c r="U29" i="28"/>
  <c r="U33" i="28"/>
  <c r="U34" i="28"/>
  <c r="U32" i="28"/>
  <c r="U27" i="28"/>
  <c r="U26" i="28"/>
  <c r="G37" i="28" l="1"/>
  <c r="G36" i="28"/>
  <c r="H144" i="28" l="1"/>
  <c r="G155" i="28" s="1"/>
  <c r="H56" i="28"/>
  <c r="G157" i="28"/>
  <c r="H145" i="28"/>
  <c r="G156" i="28" s="1"/>
  <c r="H85" i="28"/>
  <c r="H120" i="28" s="1"/>
  <c r="H57" i="28"/>
  <c r="G68" i="28" s="1"/>
  <c r="G69" i="28" s="1"/>
  <c r="H86" i="28"/>
  <c r="H121" i="28" s="1"/>
  <c r="E162" i="26"/>
  <c r="H146" i="26"/>
  <c r="E161" i="26" s="1"/>
  <c r="X145" i="26"/>
  <c r="X143" i="26"/>
  <c r="X144" i="26"/>
  <c r="X142" i="26"/>
  <c r="N143" i="26"/>
  <c r="N144" i="26"/>
  <c r="N145" i="26"/>
  <c r="C142" i="26"/>
  <c r="N142" i="26"/>
  <c r="C128" i="26"/>
  <c r="D117" i="26"/>
  <c r="Q118" i="26"/>
  <c r="Q119" i="26"/>
  <c r="Q120" i="26"/>
  <c r="Q89" i="26"/>
  <c r="Q90" i="26"/>
  <c r="Q91" i="26"/>
  <c r="K23" i="26"/>
  <c r="K93" i="26" l="1"/>
  <c r="H147" i="26"/>
  <c r="E160" i="26"/>
  <c r="H125" i="28"/>
  <c r="H127" i="28"/>
  <c r="H123" i="28"/>
  <c r="H126" i="28"/>
  <c r="H124" i="28"/>
  <c r="G128" i="28" s="1"/>
  <c r="H122" i="28"/>
  <c r="Q117" i="26"/>
  <c r="K122" i="26" s="1"/>
  <c r="I20" i="30"/>
  <c r="I21" i="30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5" i="30"/>
  <c r="I36" i="30"/>
  <c r="I37" i="30"/>
  <c r="I38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F20" i="30"/>
  <c r="F21" i="30"/>
  <c r="F22" i="30"/>
  <c r="F23" i="30"/>
  <c r="F24" i="30"/>
  <c r="F25" i="30"/>
  <c r="F26" i="30"/>
  <c r="F27" i="30"/>
  <c r="F28" i="30"/>
  <c r="F29" i="30"/>
  <c r="F30" i="30"/>
  <c r="F31" i="30"/>
  <c r="F32" i="30"/>
  <c r="F33" i="30"/>
  <c r="F34" i="30"/>
  <c r="F35" i="30"/>
  <c r="F36" i="30"/>
  <c r="F37" i="30"/>
  <c r="F38" i="30"/>
  <c r="E29" i="30"/>
  <c r="E30" i="30"/>
  <c r="E31" i="30"/>
  <c r="E32" i="30"/>
  <c r="E33" i="30"/>
  <c r="E34" i="30"/>
  <c r="E35" i="30"/>
  <c r="E36" i="30"/>
  <c r="E37" i="30"/>
  <c r="E38" i="30"/>
  <c r="F19" i="30"/>
  <c r="G19" i="30"/>
  <c r="H19" i="30"/>
  <c r="I19" i="30"/>
  <c r="D29" i="30"/>
  <c r="D30" i="30"/>
  <c r="D31" i="30"/>
  <c r="J31" i="30" s="1"/>
  <c r="D32" i="30"/>
  <c r="J32" i="30" s="1"/>
  <c r="D33" i="30"/>
  <c r="J33" i="30" s="1"/>
  <c r="D34" i="30"/>
  <c r="J34" i="30" s="1"/>
  <c r="D35" i="30"/>
  <c r="J35" i="30" s="1"/>
  <c r="D36" i="30"/>
  <c r="J36" i="30" s="1"/>
  <c r="D37" i="30"/>
  <c r="J37" i="30" s="1"/>
  <c r="D38" i="30"/>
  <c r="J38" i="30" s="1"/>
  <c r="C31" i="30"/>
  <c r="C32" i="30"/>
  <c r="C33" i="30"/>
  <c r="C34" i="30"/>
  <c r="C35" i="30"/>
  <c r="C36" i="30"/>
  <c r="C37" i="30"/>
  <c r="C38" i="30"/>
  <c r="C20" i="30"/>
  <c r="C21" i="30"/>
  <c r="C22" i="30"/>
  <c r="C23" i="30"/>
  <c r="C24" i="30"/>
  <c r="C25" i="30"/>
  <c r="C26" i="30"/>
  <c r="C27" i="30"/>
  <c r="C28" i="30"/>
  <c r="C29" i="30"/>
  <c r="C30" i="30"/>
  <c r="C19" i="30"/>
  <c r="B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B38" i="30"/>
  <c r="S67" i="26"/>
  <c r="S66" i="26"/>
  <c r="G11" i="30" l="1"/>
  <c r="F14" i="30"/>
  <c r="J25" i="30"/>
  <c r="J30" i="30"/>
  <c r="J24" i="30"/>
  <c r="J19" i="30"/>
  <c r="J26" i="30"/>
  <c r="F13" i="30"/>
  <c r="G9" i="30"/>
  <c r="G10" i="30"/>
  <c r="J20" i="30"/>
  <c r="J27" i="30"/>
  <c r="J29" i="30"/>
  <c r="J22" i="30"/>
  <c r="J21" i="30"/>
  <c r="J23" i="30"/>
  <c r="J28" i="30"/>
  <c r="J35" i="26"/>
  <c r="J36" i="26"/>
  <c r="J37" i="26"/>
  <c r="J38" i="26"/>
  <c r="J39" i="26"/>
  <c r="J40" i="26"/>
  <c r="J41" i="26"/>
  <c r="J42" i="26"/>
  <c r="K35" i="26"/>
  <c r="K36" i="26"/>
  <c r="K37" i="26"/>
  <c r="K38" i="26"/>
  <c r="K39" i="26"/>
  <c r="K40" i="26"/>
  <c r="K41" i="26"/>
  <c r="K42" i="26"/>
  <c r="E49" i="30" l="1"/>
  <c r="E47" i="30"/>
  <c r="E46" i="30"/>
  <c r="E44" i="30"/>
  <c r="E43" i="30"/>
  <c r="J23" i="26" l="1"/>
  <c r="K31" i="26"/>
  <c r="E45" i="30"/>
  <c r="J28" i="26"/>
  <c r="K32" i="26"/>
  <c r="J27" i="26"/>
  <c r="J29" i="26"/>
  <c r="K33" i="26"/>
  <c r="K34" i="26"/>
  <c r="J30" i="26"/>
  <c r="J31" i="26"/>
  <c r="K24" i="26"/>
  <c r="J33" i="26"/>
  <c r="K27" i="26"/>
  <c r="J24" i="26"/>
  <c r="K28" i="26"/>
  <c r="K29" i="26"/>
  <c r="J26" i="26"/>
  <c r="J32" i="26"/>
  <c r="K25" i="26"/>
  <c r="K26" i="26"/>
  <c r="J25" i="26"/>
  <c r="K30" i="26"/>
  <c r="J34" i="26"/>
  <c r="F275" i="35"/>
  <c r="N278" i="35"/>
  <c r="M278" i="35"/>
  <c r="L278" i="35"/>
  <c r="K278" i="35"/>
  <c r="J278" i="35"/>
  <c r="I278" i="35"/>
  <c r="H278" i="35"/>
  <c r="G278" i="35"/>
  <c r="F278" i="35"/>
  <c r="M277" i="35"/>
  <c r="K277" i="35"/>
  <c r="F277" i="35"/>
  <c r="M276" i="35"/>
  <c r="L276" i="35"/>
  <c r="K276" i="35"/>
  <c r="G276" i="35"/>
  <c r="J275" i="35"/>
  <c r="H275" i="35"/>
  <c r="N243" i="35"/>
  <c r="M243" i="35"/>
  <c r="L243" i="35"/>
  <c r="K243" i="35"/>
  <c r="J243" i="35"/>
  <c r="I243" i="35"/>
  <c r="H243" i="35"/>
  <c r="G243" i="35"/>
  <c r="N242" i="35"/>
  <c r="I242" i="35"/>
  <c r="F242" i="35"/>
  <c r="N241" i="35"/>
  <c r="L241" i="35"/>
  <c r="K241" i="35"/>
  <c r="J241" i="35"/>
  <c r="M208" i="35"/>
  <c r="L208" i="35"/>
  <c r="K208" i="35"/>
  <c r="I208" i="35"/>
  <c r="H208" i="35"/>
  <c r="G208" i="35"/>
  <c r="F208" i="35"/>
  <c r="N207" i="35"/>
  <c r="K207" i="35"/>
  <c r="J207" i="35"/>
  <c r="F207" i="35"/>
  <c r="N206" i="35"/>
  <c r="M206" i="35"/>
  <c r="L206" i="35"/>
  <c r="K206" i="35"/>
  <c r="H206" i="35"/>
  <c r="G206" i="35"/>
  <c r="F206" i="35"/>
  <c r="K205" i="35"/>
  <c r="G205" i="35"/>
  <c r="F205" i="35"/>
  <c r="N173" i="35"/>
  <c r="M173" i="35"/>
  <c r="L173" i="35"/>
  <c r="K173" i="35"/>
  <c r="J173" i="35"/>
  <c r="I173" i="35"/>
  <c r="H173" i="35"/>
  <c r="G173" i="35"/>
  <c r="F173" i="35"/>
  <c r="N172" i="35"/>
  <c r="M172" i="35"/>
  <c r="L172" i="35"/>
  <c r="K172" i="35"/>
  <c r="J172" i="35"/>
  <c r="I172" i="35"/>
  <c r="H172" i="35"/>
  <c r="G172" i="35"/>
  <c r="F172" i="35"/>
  <c r="N171" i="35"/>
  <c r="M171" i="35"/>
  <c r="L171" i="35"/>
  <c r="K171" i="35"/>
  <c r="J171" i="35"/>
  <c r="I171" i="35"/>
  <c r="H171" i="35"/>
  <c r="G171" i="35"/>
  <c r="F171" i="35"/>
  <c r="E54" i="26" l="1"/>
  <c r="H46" i="26" s="1"/>
  <c r="D90" i="26" s="1"/>
  <c r="E53" i="26"/>
  <c r="E52" i="26"/>
  <c r="E48" i="30"/>
  <c r="E50" i="30" s="1"/>
  <c r="T46" i="26" s="1"/>
  <c r="S68" i="26" s="1"/>
  <c r="J345" i="35"/>
  <c r="L345" i="35"/>
  <c r="L346" i="35"/>
  <c r="M345" i="35"/>
  <c r="N345" i="35"/>
  <c r="F346" i="35"/>
  <c r="G346" i="35"/>
  <c r="H346" i="35"/>
  <c r="I346" i="35"/>
  <c r="G345" i="35"/>
  <c r="J346" i="35"/>
  <c r="H345" i="35"/>
  <c r="K346" i="35"/>
  <c r="I345" i="35"/>
  <c r="M346" i="35"/>
  <c r="K345" i="35"/>
  <c r="N346" i="35"/>
  <c r="K248" i="35"/>
  <c r="K283" i="35"/>
  <c r="J283" i="35"/>
  <c r="G247" i="35"/>
  <c r="I248" i="35"/>
  <c r="N276" i="35"/>
  <c r="M248" i="35"/>
  <c r="F282" i="35"/>
  <c r="L277" i="35"/>
  <c r="L247" i="35"/>
  <c r="G283" i="35"/>
  <c r="F247" i="35"/>
  <c r="I282" i="35"/>
  <c r="N277" i="35"/>
  <c r="I283" i="35"/>
  <c r="J248" i="35"/>
  <c r="G282" i="35"/>
  <c r="G275" i="35"/>
  <c r="H282" i="35"/>
  <c r="I275" i="35"/>
  <c r="L283" i="35"/>
  <c r="J282" i="35"/>
  <c r="M283" i="35"/>
  <c r="K275" i="35"/>
  <c r="K282" i="35"/>
  <c r="N283" i="35"/>
  <c r="L282" i="35"/>
  <c r="M275" i="35"/>
  <c r="G277" i="35"/>
  <c r="M282" i="35"/>
  <c r="L275" i="35"/>
  <c r="N275" i="35"/>
  <c r="H277" i="35"/>
  <c r="N282" i="35"/>
  <c r="F276" i="35"/>
  <c r="I277" i="35"/>
  <c r="F283" i="35"/>
  <c r="J277" i="35"/>
  <c r="H276" i="35"/>
  <c r="H283" i="35"/>
  <c r="I276" i="35"/>
  <c r="J276" i="35"/>
  <c r="I240" i="35"/>
  <c r="M240" i="35"/>
  <c r="G242" i="35"/>
  <c r="J242" i="35"/>
  <c r="F243" i="35"/>
  <c r="H247" i="35"/>
  <c r="I247" i="35"/>
  <c r="M247" i="35"/>
  <c r="L248" i="35"/>
  <c r="J240" i="35"/>
  <c r="M241" i="35"/>
  <c r="J247" i="35"/>
  <c r="K240" i="35"/>
  <c r="K247" i="35"/>
  <c r="N248" i="35"/>
  <c r="L240" i="35"/>
  <c r="N240" i="35"/>
  <c r="H242" i="35"/>
  <c r="N247" i="35"/>
  <c r="F241" i="35"/>
  <c r="F248" i="35"/>
  <c r="G241" i="35"/>
  <c r="G248" i="35"/>
  <c r="H241" i="35"/>
  <c r="K242" i="35"/>
  <c r="H248" i="35"/>
  <c r="F240" i="35"/>
  <c r="I241" i="35"/>
  <c r="L242" i="35"/>
  <c r="G240" i="35"/>
  <c r="M242" i="35"/>
  <c r="H240" i="35"/>
  <c r="H213" i="35"/>
  <c r="H212" i="35"/>
  <c r="I212" i="35"/>
  <c r="J212" i="35"/>
  <c r="K213" i="35"/>
  <c r="L207" i="35"/>
  <c r="J213" i="35"/>
  <c r="N212" i="35"/>
  <c r="J208" i="35"/>
  <c r="N208" i="35"/>
  <c r="K212" i="35"/>
  <c r="N213" i="35"/>
  <c r="F212" i="35"/>
  <c r="F213" i="35"/>
  <c r="I213" i="35"/>
  <c r="M207" i="35"/>
  <c r="I205" i="35"/>
  <c r="L213" i="35"/>
  <c r="J206" i="35"/>
  <c r="J205" i="35"/>
  <c r="M213" i="35"/>
  <c r="L205" i="35"/>
  <c r="L212" i="35"/>
  <c r="M212" i="35"/>
  <c r="G207" i="35"/>
  <c r="N205" i="35"/>
  <c r="H207" i="35"/>
  <c r="M205" i="35"/>
  <c r="I207" i="35"/>
  <c r="G213" i="35"/>
  <c r="I206" i="35"/>
  <c r="G212" i="35"/>
  <c r="H205" i="35"/>
  <c r="N177" i="35"/>
  <c r="H178" i="35"/>
  <c r="I178" i="35"/>
  <c r="G177" i="35"/>
  <c r="J178" i="35"/>
  <c r="L177" i="35"/>
  <c r="M177" i="35"/>
  <c r="E56" i="26" l="1"/>
  <c r="E55" i="26"/>
  <c r="C144" i="26"/>
  <c r="D119" i="26"/>
  <c r="N170" i="35"/>
  <c r="G170" i="35"/>
  <c r="K170" i="35"/>
  <c r="L178" i="35"/>
  <c r="K178" i="35"/>
  <c r="J170" i="35"/>
  <c r="L170" i="35"/>
  <c r="M170" i="35"/>
  <c r="I170" i="35"/>
  <c r="F170" i="35"/>
  <c r="F177" i="35"/>
  <c r="N178" i="35"/>
  <c r="H170" i="35"/>
  <c r="J177" i="35"/>
  <c r="G178" i="35"/>
  <c r="I177" i="35"/>
  <c r="H177" i="35"/>
  <c r="K177" i="35"/>
  <c r="F178" i="35"/>
  <c r="M178" i="35"/>
  <c r="I119" i="35"/>
  <c r="G119" i="35"/>
  <c r="J119" i="35"/>
  <c r="K119" i="35"/>
  <c r="L119" i="35"/>
  <c r="F119" i="35"/>
  <c r="F129" i="35" s="1"/>
  <c r="H119" i="35"/>
  <c r="M119" i="35"/>
  <c r="N120" i="35"/>
  <c r="G295" i="35"/>
  <c r="H295" i="35"/>
  <c r="I297" i="35"/>
  <c r="J297" i="35"/>
  <c r="L297" i="35"/>
  <c r="M295" i="35"/>
  <c r="G292" i="35"/>
  <c r="H296" i="35"/>
  <c r="I294" i="35"/>
  <c r="J298" i="35"/>
  <c r="L294" i="35"/>
  <c r="M292" i="35"/>
  <c r="N294" i="35"/>
  <c r="F295" i="35"/>
  <c r="F298" i="35"/>
  <c r="E57" i="26" l="1"/>
  <c r="H56" i="26" s="1"/>
  <c r="F356" i="35"/>
  <c r="F357" i="35" s="1"/>
  <c r="F368" i="35" s="1"/>
  <c r="H356" i="35"/>
  <c r="H357" i="35" s="1"/>
  <c r="H368" i="35" s="1"/>
  <c r="M356" i="35"/>
  <c r="M357" i="35" s="1"/>
  <c r="M368" i="35" s="1"/>
  <c r="L355" i="35"/>
  <c r="N297" i="35"/>
  <c r="N299" i="35"/>
  <c r="N356" i="35"/>
  <c r="N357" i="35" s="1"/>
  <c r="N368" i="35" s="1"/>
  <c r="N355" i="35"/>
  <c r="M355" i="35"/>
  <c r="L356" i="35"/>
  <c r="L357" i="35" s="1"/>
  <c r="L368" i="35" s="1"/>
  <c r="I355" i="35"/>
  <c r="H355" i="35"/>
  <c r="G356" i="35"/>
  <c r="G357" i="35" s="1"/>
  <c r="G368" i="35" s="1"/>
  <c r="G355" i="35"/>
  <c r="J355" i="35"/>
  <c r="J356" i="35"/>
  <c r="J357" i="35" s="1"/>
  <c r="J368" i="35" s="1"/>
  <c r="I356" i="35"/>
  <c r="I357" i="35" s="1"/>
  <c r="I368" i="35" s="1"/>
  <c r="K295" i="35"/>
  <c r="K356" i="35"/>
  <c r="K357" i="35" s="1"/>
  <c r="K368" i="35" s="1"/>
  <c r="K298" i="35"/>
  <c r="K355" i="35"/>
  <c r="J293" i="35"/>
  <c r="G298" i="35"/>
  <c r="H294" i="35"/>
  <c r="N293" i="35"/>
  <c r="F296" i="35"/>
  <c r="M297" i="35"/>
  <c r="F293" i="35"/>
  <c r="H298" i="35"/>
  <c r="K292" i="35"/>
  <c r="N296" i="35"/>
  <c r="H292" i="35"/>
  <c r="K297" i="35"/>
  <c r="L299" i="35"/>
  <c r="I292" i="35"/>
  <c r="I298" i="35"/>
  <c r="N298" i="35"/>
  <c r="J295" i="35"/>
  <c r="N292" i="35"/>
  <c r="M299" i="35"/>
  <c r="L293" i="35"/>
  <c r="F294" i="35"/>
  <c r="L295" i="35"/>
  <c r="I293" i="35"/>
  <c r="J294" i="35"/>
  <c r="G293" i="35"/>
  <c r="F299" i="35"/>
  <c r="K299" i="35"/>
  <c r="K296" i="35"/>
  <c r="J292" i="35"/>
  <c r="K293" i="35"/>
  <c r="J299" i="35"/>
  <c r="G294" i="35"/>
  <c r="H297" i="35"/>
  <c r="J296" i="35"/>
  <c r="I299" i="35"/>
  <c r="G296" i="35"/>
  <c r="K294" i="35"/>
  <c r="I296" i="35"/>
  <c r="L296" i="35"/>
  <c r="L298" i="35"/>
  <c r="M298" i="35"/>
  <c r="M294" i="35"/>
  <c r="M296" i="35"/>
  <c r="H299" i="35"/>
  <c r="G297" i="35"/>
  <c r="N295" i="35"/>
  <c r="I295" i="35"/>
  <c r="F297" i="35"/>
  <c r="G299" i="35"/>
  <c r="M293" i="35"/>
  <c r="F292" i="35"/>
  <c r="H293" i="35"/>
  <c r="L292" i="35"/>
  <c r="F120" i="35"/>
  <c r="F130" i="35" s="1"/>
  <c r="F131" i="35" s="1"/>
  <c r="F366" i="35" s="1"/>
  <c r="K120" i="35"/>
  <c r="K130" i="35" s="1"/>
  <c r="K131" i="35" s="1"/>
  <c r="K366" i="35" s="1"/>
  <c r="L120" i="35"/>
  <c r="L130" i="35" s="1"/>
  <c r="L131" i="35" s="1"/>
  <c r="L366" i="35" s="1"/>
  <c r="I120" i="35"/>
  <c r="I130" i="35" s="1"/>
  <c r="L129" i="35"/>
  <c r="N130" i="35"/>
  <c r="M120" i="35"/>
  <c r="M130" i="35" s="1"/>
  <c r="M131" i="35" s="1"/>
  <c r="M366" i="35" s="1"/>
  <c r="M129" i="35"/>
  <c r="H120" i="35"/>
  <c r="H130" i="35" s="1"/>
  <c r="G120" i="35"/>
  <c r="G130" i="35" s="1"/>
  <c r="G131" i="35" s="1"/>
  <c r="G366" i="35" s="1"/>
  <c r="K129" i="35"/>
  <c r="J129" i="35"/>
  <c r="H129" i="35"/>
  <c r="I129" i="35"/>
  <c r="G129" i="35"/>
  <c r="N119" i="35"/>
  <c r="N129" i="35" s="1"/>
  <c r="J120" i="35"/>
  <c r="J130" i="35" s="1"/>
  <c r="N131" i="35" l="1"/>
  <c r="N366" i="35" s="1"/>
  <c r="L300" i="35"/>
  <c r="L367" i="35" s="1"/>
  <c r="M300" i="35"/>
  <c r="M367" i="35" s="1"/>
  <c r="K300" i="35"/>
  <c r="K367" i="35" s="1"/>
  <c r="J131" i="35"/>
  <c r="J366" i="35" s="1"/>
  <c r="J300" i="35"/>
  <c r="J367" i="35" s="1"/>
  <c r="H131" i="35"/>
  <c r="H366" i="35" s="1"/>
  <c r="H300" i="35"/>
  <c r="H367" i="35" s="1"/>
  <c r="I131" i="35"/>
  <c r="I366" i="35" s="1"/>
  <c r="I300" i="35"/>
  <c r="I367" i="35" s="1"/>
  <c r="N300" i="35"/>
  <c r="N367" i="35" s="1"/>
  <c r="G300" i="35"/>
  <c r="G367" i="35" s="1"/>
  <c r="F300" i="35"/>
  <c r="F367" i="35" s="1"/>
  <c r="K38" i="30"/>
  <c r="K37" i="30"/>
  <c r="K36" i="30"/>
  <c r="K35" i="30"/>
  <c r="K34" i="30"/>
  <c r="K33" i="30"/>
  <c r="K32" i="30"/>
  <c r="K31" i="30"/>
  <c r="K30" i="30"/>
  <c r="K29" i="30"/>
  <c r="K28" i="30"/>
  <c r="K27" i="30"/>
  <c r="K26" i="30"/>
  <c r="K25" i="30"/>
  <c r="K24" i="30"/>
  <c r="K23" i="30"/>
  <c r="K22" i="30"/>
  <c r="K21" i="30"/>
  <c r="K20" i="30"/>
  <c r="K19" i="30"/>
  <c r="L249" i="35" l="1"/>
  <c r="G179" i="35"/>
  <c r="F179" i="35"/>
  <c r="J249" i="35"/>
  <c r="H284" i="35"/>
  <c r="N214" i="35"/>
  <c r="K284" i="35"/>
  <c r="F284" i="35"/>
  <c r="G249" i="35"/>
  <c r="L284" i="35"/>
  <c r="N249" i="35"/>
  <c r="G284" i="35"/>
  <c r="I284" i="35"/>
  <c r="H249" i="35"/>
  <c r="K249" i="35"/>
  <c r="M284" i="35"/>
  <c r="F71" i="35"/>
  <c r="F365" i="35" s="1"/>
  <c r="F369" i="35" s="1"/>
  <c r="M249" i="35"/>
  <c r="J284" i="35"/>
  <c r="M121" i="35"/>
  <c r="F249" i="35"/>
  <c r="I249" i="35"/>
  <c r="N284" i="35"/>
  <c r="K214" i="35"/>
  <c r="F214" i="35"/>
  <c r="I214" i="35"/>
  <c r="M214" i="35"/>
  <c r="G214" i="35"/>
  <c r="J214" i="35"/>
  <c r="L214" i="35"/>
  <c r="H214" i="35"/>
  <c r="L179" i="35"/>
  <c r="H179" i="35"/>
  <c r="M179" i="35"/>
  <c r="I179" i="35"/>
  <c r="J179" i="35"/>
  <c r="N179" i="35"/>
  <c r="K179" i="35"/>
  <c r="K347" i="35"/>
  <c r="M347" i="35"/>
  <c r="I347" i="35"/>
  <c r="F347" i="35"/>
  <c r="L347" i="35"/>
  <c r="H347" i="35"/>
  <c r="G347" i="35"/>
  <c r="J347" i="35"/>
  <c r="N347" i="35"/>
  <c r="I121" i="35"/>
  <c r="N121" i="35"/>
  <c r="H121" i="35"/>
  <c r="G121" i="35"/>
  <c r="L121" i="35"/>
  <c r="J121" i="35"/>
  <c r="F121" i="35"/>
  <c r="K121" i="35"/>
  <c r="M71" i="35"/>
  <c r="M365" i="35" s="1"/>
  <c r="M369" i="35" s="1"/>
  <c r="J71" i="35"/>
  <c r="J365" i="35" s="1"/>
  <c r="J369" i="35" s="1"/>
  <c r="N365" i="35"/>
  <c r="N369" i="35" s="1"/>
  <c r="H71" i="35"/>
  <c r="H365" i="35" s="1"/>
  <c r="H369" i="35" s="1"/>
  <c r="L71" i="35"/>
  <c r="L365" i="35" s="1"/>
  <c r="L369" i="35" s="1"/>
  <c r="G71" i="35"/>
  <c r="G365" i="35" s="1"/>
  <c r="G369" i="35" s="1"/>
  <c r="I71" i="35"/>
  <c r="I365" i="35" s="1"/>
  <c r="I369" i="35" s="1"/>
  <c r="K71" i="35"/>
  <c r="K365" i="35" s="1"/>
  <c r="K369" i="35" s="1"/>
  <c r="F370" i="35" l="1"/>
  <c r="K13" i="28" l="1"/>
  <c r="O152" i="28" l="1"/>
  <c r="N152" i="28"/>
  <c r="M152" i="28"/>
  <c r="Q153" i="28"/>
  <c r="R153" i="28"/>
  <c r="Q152" i="28"/>
  <c r="P153" i="28"/>
  <c r="Q151" i="28"/>
  <c r="O153" i="28"/>
  <c r="N150" i="28"/>
  <c r="N153" i="28"/>
  <c r="Q150" i="28"/>
  <c r="O150" i="28"/>
  <c r="M153" i="28"/>
  <c r="P150" i="28"/>
  <c r="R152" i="28"/>
  <c r="P152" i="28"/>
  <c r="N151" i="28"/>
  <c r="O151" i="28"/>
  <c r="P151" i="28"/>
  <c r="Q117" i="28"/>
  <c r="M116" i="28"/>
  <c r="P117" i="28"/>
  <c r="R118" i="28"/>
  <c r="N117" i="28"/>
  <c r="O118" i="28"/>
  <c r="P115" i="28"/>
  <c r="Q118" i="28"/>
  <c r="M117" i="28"/>
  <c r="R115" i="28"/>
  <c r="P118" i="28"/>
  <c r="Q115" i="28"/>
  <c r="R117" i="28"/>
  <c r="O117" i="28"/>
  <c r="N118" i="28"/>
  <c r="R116" i="28"/>
  <c r="O115" i="28"/>
  <c r="P116" i="28"/>
  <c r="M115" i="28"/>
  <c r="O116" i="28"/>
  <c r="N116" i="28"/>
  <c r="M118" i="28"/>
  <c r="Q116" i="28"/>
  <c r="N115" i="28"/>
  <c r="Q109" i="28"/>
  <c r="M108" i="28"/>
  <c r="Q108" i="28"/>
  <c r="P108" i="28"/>
  <c r="P109" i="28"/>
  <c r="P107" i="28"/>
  <c r="R110" i="28"/>
  <c r="O109" i="28"/>
  <c r="Q110" i="28"/>
  <c r="N109" i="28"/>
  <c r="Q107" i="28"/>
  <c r="O108" i="28"/>
  <c r="R109" i="28"/>
  <c r="P110" i="28"/>
  <c r="M109" i="28"/>
  <c r="R107" i="28"/>
  <c r="N107" i="28"/>
  <c r="M107" i="28"/>
  <c r="N108" i="28"/>
  <c r="O110" i="28"/>
  <c r="N110" i="28"/>
  <c r="M110" i="28"/>
  <c r="R108" i="28"/>
  <c r="O107" i="28"/>
  <c r="P102" i="28"/>
  <c r="Q99" i="28"/>
  <c r="P99" i="28"/>
  <c r="N102" i="28"/>
  <c r="R100" i="28"/>
  <c r="M102" i="28"/>
  <c r="N99" i="28"/>
  <c r="O101" i="28"/>
  <c r="R102" i="28"/>
  <c r="Q102" i="28"/>
  <c r="R99" i="28"/>
  <c r="O102" i="28"/>
  <c r="O99" i="28"/>
  <c r="Q100" i="28"/>
  <c r="P100" i="28"/>
  <c r="M99" i="28"/>
  <c r="AA98" i="28" s="1"/>
  <c r="O100" i="28"/>
  <c r="N101" i="28"/>
  <c r="M101" i="28"/>
  <c r="R101" i="28"/>
  <c r="N100" i="28"/>
  <c r="Q101" i="28"/>
  <c r="M100" i="28"/>
  <c r="P101" i="28"/>
  <c r="Q94" i="28"/>
  <c r="R94" i="28"/>
  <c r="O93" i="28"/>
  <c r="Q91" i="28"/>
  <c r="R93" i="28"/>
  <c r="M94" i="28"/>
  <c r="N93" i="28"/>
  <c r="N94" i="28"/>
  <c r="M93" i="28"/>
  <c r="O94" i="28"/>
  <c r="Q93" i="28"/>
  <c r="P94" i="28"/>
  <c r="P92" i="28"/>
  <c r="Q92" i="28"/>
  <c r="P93" i="28"/>
  <c r="N92" i="28"/>
  <c r="P91" i="28"/>
  <c r="N91" i="28"/>
  <c r="O91" i="28"/>
  <c r="O92" i="28"/>
  <c r="P63" i="28"/>
  <c r="O63" i="28"/>
  <c r="P64" i="28"/>
  <c r="N63" i="28"/>
  <c r="Q64" i="28"/>
  <c r="P65" i="28"/>
  <c r="Q65" i="28"/>
  <c r="O64" i="28"/>
  <c r="Q63" i="28"/>
  <c r="O65" i="28"/>
  <c r="P62" i="28"/>
  <c r="Q62" i="28"/>
  <c r="N64" i="28"/>
  <c r="O62" i="28"/>
  <c r="M62" i="28"/>
  <c r="N65" i="28"/>
  <c r="N62" i="28"/>
  <c r="M65" i="28"/>
  <c r="R64" i="28"/>
  <c r="R65" i="28"/>
  <c r="M64" i="28"/>
  <c r="P34" i="28"/>
  <c r="M25" i="28"/>
  <c r="Q34" i="28"/>
  <c r="Q32" i="28"/>
  <c r="Q33" i="28"/>
  <c r="Q31" i="28"/>
  <c r="Q30" i="28"/>
  <c r="Q29" i="28"/>
  <c r="Q28" i="28"/>
  <c r="Q27" i="28"/>
  <c r="Q26" i="28"/>
  <c r="Q25" i="28"/>
  <c r="P26" i="28"/>
  <c r="P25" i="28"/>
  <c r="P33" i="28"/>
  <c r="P32" i="28"/>
  <c r="P30" i="28"/>
  <c r="P27" i="28"/>
  <c r="P31" i="28"/>
  <c r="P29" i="28"/>
  <c r="P28" i="28"/>
  <c r="O33" i="28"/>
  <c r="O27" i="28"/>
  <c r="O26" i="28"/>
  <c r="O25" i="28"/>
  <c r="O32" i="28"/>
  <c r="O30" i="28"/>
  <c r="O29" i="28"/>
  <c r="O34" i="28"/>
  <c r="O28" i="28"/>
  <c r="O31" i="28"/>
  <c r="N33" i="28"/>
  <c r="N29" i="28"/>
  <c r="N25" i="28"/>
  <c r="N27" i="28"/>
  <c r="N34" i="28"/>
  <c r="N30" i="28"/>
  <c r="N26" i="28"/>
  <c r="N32" i="28"/>
  <c r="N28" i="28"/>
  <c r="N31" i="28"/>
  <c r="R150" i="28"/>
  <c r="M151" i="28"/>
  <c r="M150" i="28"/>
  <c r="AA149" i="28" s="1"/>
  <c r="R151" i="28"/>
  <c r="M92" i="28"/>
  <c r="R91" i="28"/>
  <c r="M91" i="28"/>
  <c r="R92" i="28"/>
  <c r="R63" i="28"/>
  <c r="M63" i="28"/>
  <c r="R62" i="28"/>
  <c r="R33" i="28"/>
  <c r="M30" i="28"/>
  <c r="R25" i="28"/>
  <c r="M33" i="28"/>
  <c r="K167" i="28"/>
  <c r="R34" i="28"/>
  <c r="R30" i="28"/>
  <c r="R26" i="28"/>
  <c r="M34" i="28"/>
  <c r="M26" i="28"/>
  <c r="M29" i="28"/>
  <c r="M27" i="28"/>
  <c r="M31" i="28"/>
  <c r="R29" i="28"/>
  <c r="R32" i="28"/>
  <c r="R28" i="28"/>
  <c r="M32" i="28"/>
  <c r="M28" i="28"/>
  <c r="R31" i="28"/>
  <c r="R27" i="28"/>
  <c r="G38" i="28" l="1"/>
  <c r="K164" i="28" s="1"/>
  <c r="AA61" i="28"/>
  <c r="AA106" i="28"/>
  <c r="AA90" i="28"/>
  <c r="AA114" i="28"/>
  <c r="K165" i="28"/>
  <c r="K166" i="28"/>
  <c r="K168" i="28" l="1"/>
  <c r="C179" i="26"/>
  <c r="C177" i="26"/>
  <c r="R53" i="26"/>
  <c r="H47" i="26" s="1"/>
  <c r="E100" i="26" s="1"/>
  <c r="K96" i="26" s="1"/>
  <c r="L52" i="26"/>
  <c r="T38" i="26"/>
  <c r="T25" i="26"/>
  <c r="E58" i="26" l="1"/>
  <c r="E128" i="26"/>
  <c r="H48" i="26"/>
  <c r="C153" i="26"/>
  <c r="E61" i="26" l="1"/>
  <c r="C63" i="26" s="1"/>
  <c r="E153" i="26"/>
  <c r="R153" i="26"/>
  <c r="C130" i="26"/>
  <c r="K125" i="26"/>
  <c r="C96" i="26"/>
  <c r="B150" i="26"/>
  <c r="C125" i="26"/>
  <c r="P153" i="26"/>
  <c r="P155" i="26" l="1"/>
  <c r="V154" i="26" s="1"/>
  <c r="R150" i="26"/>
  <c r="Q171" i="26"/>
  <c r="I129" i="26"/>
  <c r="C155" i="26"/>
  <c r="H150" i="26"/>
  <c r="C102" i="26"/>
  <c r="I101" i="26" s="1"/>
  <c r="S69" i="26"/>
  <c r="C66" i="26"/>
  <c r="Q167" i="26" l="1"/>
  <c r="I154" i="26"/>
  <c r="Q169" i="26"/>
  <c r="Q170" i="26"/>
  <c r="S65" i="26"/>
  <c r="J172" i="26" l="1"/>
  <c r="C68" i="26"/>
  <c r="H67" i="26"/>
  <c r="H68" i="26" s="1"/>
  <c r="H62" i="26"/>
  <c r="S70" i="26" l="1"/>
  <c r="S71" i="26" s="1"/>
  <c r="L177" i="26" l="1"/>
  <c r="L179" i="26" l="1"/>
  <c r="L181" i="26" s="1"/>
</calcChain>
</file>

<file path=xl/sharedStrings.xml><?xml version="1.0" encoding="utf-8"?>
<sst xmlns="http://schemas.openxmlformats.org/spreadsheetml/2006/main" count="1206" uniqueCount="322">
  <si>
    <t>Résultat 1</t>
  </si>
  <si>
    <t>Résultat 2</t>
  </si>
  <si>
    <t>St²</t>
  </si>
  <si>
    <t>Moyenne</t>
  </si>
  <si>
    <t>Réf échantillon</t>
  </si>
  <si>
    <t xml:space="preserve">Résultat 1 </t>
  </si>
  <si>
    <t xml:space="preserve">x̿ </t>
  </si>
  <si>
    <t>Ss</t>
  </si>
  <si>
    <t>Sx̄²</t>
  </si>
  <si>
    <t>Sw²</t>
  </si>
  <si>
    <t xml:space="preserve">Référence de l'échantillon testé : </t>
  </si>
  <si>
    <t>Date :</t>
  </si>
  <si>
    <t xml:space="preserve">Signature : </t>
  </si>
  <si>
    <t>Adresse : BP53 Zone Industrielle Technopole Menzel Harb 5036 TUNISIE
Tél : +216 70 146 260 Fax : +216 70 146 269
Mail : info@ttesting.org
Page 1/1</t>
  </si>
  <si>
    <t>Référence de la campagne :</t>
  </si>
  <si>
    <t>Nombre d'échantillons ( g )</t>
  </si>
  <si>
    <t>Nombre de prise d'essai ( m )</t>
  </si>
  <si>
    <t xml:space="preserve">Vérification de l'homogeniété et de la stabilité des échantillons soumises à l'essai d'aptitude </t>
  </si>
  <si>
    <t>Valeurs critiques pour le test de Cochran ISO 5725-2 : 2019  (p33)</t>
  </si>
  <si>
    <t>Pas de tendance significative, passez à l'évaulation de l'homognéité</t>
  </si>
  <si>
    <t xml:space="preserve">Echantillon par ordre de réalisation des essais </t>
  </si>
  <si>
    <t>Présence de tendance significative, voir annexe B paragraphe. B.2.1.a) de l'ISO 13528 page 49</t>
  </si>
  <si>
    <t>Moyenne 
x̄t</t>
  </si>
  <si>
    <t>Méthode testée :</t>
  </si>
  <si>
    <t>Présence de tendance significative, voir annexe B paragraphe. B.2.1.b) de l'ISO 13528 page 50</t>
  </si>
  <si>
    <t>Exigence du paragraphe B.1.1. de l'ISO 13528:2022  et recommendation 7 du UICPA: 2006</t>
  </si>
  <si>
    <r>
      <t xml:space="preserve">Analyse de tendance de la distribution des </t>
    </r>
    <r>
      <rPr>
        <b/>
        <sz val="16"/>
        <color rgb="FF0070C0"/>
        <rFont val="Calibri"/>
        <family val="2"/>
        <scheme val="minor"/>
      </rPr>
      <t>moyennes</t>
    </r>
  </si>
  <si>
    <t>Le rapport sr/σpt est inférieur à 0,5</t>
  </si>
  <si>
    <t xml:space="preserve">Code des rapports TTS </t>
  </si>
  <si>
    <t>Numéro du rapport</t>
  </si>
  <si>
    <t>Organisme/ Année</t>
  </si>
  <si>
    <t xml:space="preserve">Code échantillon </t>
  </si>
  <si>
    <t>Date de fin de l'essai d'aptitude</t>
  </si>
  <si>
    <t xml:space="preserve">Dates des essais de stabilité </t>
  </si>
  <si>
    <t>σpt de TTS dans des compagnes intercomparaison antérieurs/Norme</t>
  </si>
  <si>
    <t>Les échantillons sont homogènes</t>
  </si>
  <si>
    <t>Les échantillons ne sont pas homogènes</t>
  </si>
  <si>
    <t>Vérifier sr</t>
  </si>
  <si>
    <t>Valeur correcte</t>
  </si>
  <si>
    <t>Valeur isolée</t>
  </si>
  <si>
    <t>Valeur abérrante</t>
  </si>
  <si>
    <t>Les échantillons sont stables</t>
  </si>
  <si>
    <t>Les échantillons ne sont pas stables</t>
  </si>
  <si>
    <t>Décision :</t>
  </si>
  <si>
    <t xml:space="preserve">L'entité soumise à l'essai est sensible au transport et ses conditions </t>
  </si>
  <si>
    <t xml:space="preserve">L'entité soumise à l'essai n'est pas sensible au transport et ses conditions </t>
  </si>
  <si>
    <t xml:space="preserve">L'entité soumise à l'essai risque d'être instable jusqu'à la fin de l'essai d'aptitude </t>
  </si>
  <si>
    <t xml:space="preserve">L'entité soumise à l'essai ne risque pas d'être instable jusqu'à la fin de l'essai d'aptitude </t>
  </si>
  <si>
    <t>Date de l'essai d'aptitude:</t>
  </si>
  <si>
    <t>Dates des essais de stabilité 1</t>
  </si>
  <si>
    <t>Dates des essais de stabilité 2</t>
  </si>
  <si>
    <t>Resultat 2</t>
  </si>
  <si>
    <t>Date des essais de stabilité</t>
  </si>
  <si>
    <t xml:space="preserve">Resultat 2 (après distribution) </t>
  </si>
  <si>
    <t>Date des essais d'homogéniété:</t>
  </si>
  <si>
    <t>Approbateur:</t>
  </si>
  <si>
    <t>g</t>
  </si>
  <si>
    <t>F1</t>
  </si>
  <si>
    <t>F2</t>
  </si>
  <si>
    <t>σallow²</t>
  </si>
  <si>
    <t>c</t>
  </si>
  <si>
    <t>Les échantillons ne sont pas suffisamment homogènes</t>
  </si>
  <si>
    <t>Les échantillons sont suffisament homogènes</t>
  </si>
  <si>
    <t>Paragraphe B.2.3  Ss &lt;  √c</t>
  </si>
  <si>
    <t xml:space="preserve">Paragraphe B.2.1.b) Tendance des moyennes </t>
  </si>
  <si>
    <t xml:space="preserve">Décision concernant les critères d'homogénéité: </t>
  </si>
  <si>
    <t>Exigence du paragraphe B.4.1.3. de l'ISO 13528:2022  et recommendation 7 du UICPA: 2006</t>
  </si>
  <si>
    <t>Décision concernant les essais de stabilité :</t>
  </si>
  <si>
    <t>Décision de l'essai de stabilité avant et après distribution :</t>
  </si>
  <si>
    <t>Resultat 3</t>
  </si>
  <si>
    <t xml:space="preserve">Paragraphe B.4.1.2 Tendance des valeurs au cours de l'essai </t>
  </si>
  <si>
    <t>Paragraphe B.4.2.3. Stabilité entre avant et après la compagne</t>
  </si>
  <si>
    <t>Moyenne après compagne</t>
  </si>
  <si>
    <t xml:space="preserve">Analyse de tendance </t>
  </si>
  <si>
    <t xml:space="preserve">I) Vérification de l'homogénieté des échantillons selon l'ISO 13528 : 2022  Annexe B  page 49-53 </t>
  </si>
  <si>
    <t>I.1)</t>
  </si>
  <si>
    <t>I.2)</t>
  </si>
  <si>
    <t>I.3)</t>
  </si>
  <si>
    <t>I.5)</t>
  </si>
  <si>
    <t>II) Vérification de la stabilité des échantillons à la fin de la période du déroulement de l'essai d'aptitude selon l'ISO 13528 : 2022  Annexe B  page 53-56</t>
  </si>
  <si>
    <t>II.1.a)</t>
  </si>
  <si>
    <t>II.1.b)</t>
  </si>
  <si>
    <t>II.2.a)</t>
  </si>
  <si>
    <t>II.2.b)</t>
  </si>
  <si>
    <t>Décision concernant les critères d'homogénéité selon ISO 13528 : 2020 Annexe B paragraphe B.2.</t>
  </si>
  <si>
    <t>Décision concernant les essais de stabilité selon ISO 13528 : 2020 Annexe B paragraphe B.5.</t>
  </si>
  <si>
    <t>absolu</t>
  </si>
  <si>
    <t xml:space="preserve">relatif </t>
  </si>
  <si>
    <t>Paragraphe B.2.1.c) Test de Cochran (indiquer code échantillon(s) éliminé(s) si réalisé)</t>
  </si>
  <si>
    <t>I.4-a)</t>
  </si>
  <si>
    <t>I.4-b)</t>
  </si>
  <si>
    <t xml:space="preserve">II.1) Vérification de la stabilité à la fin de l'essai d'aptitude </t>
  </si>
  <si>
    <t xml:space="preserve">II.2) Vérification de l'effet de transport sur l'entité soumise à l'essai: </t>
  </si>
  <si>
    <t>Décrire comment les conditions de transport sont simulées:</t>
  </si>
  <si>
    <t>II.2.c)</t>
  </si>
  <si>
    <t xml:space="preserve">II.3) Vérification de l'effet du stockage sur l'entité soumise à l'essai jusqu'à la fin de l'essai d'aptitude: </t>
  </si>
  <si>
    <t>II.3.a)</t>
  </si>
  <si>
    <t>II.3.b)</t>
  </si>
  <si>
    <t>Décision de l'essai de stabilité 1 :</t>
  </si>
  <si>
    <t xml:space="preserve">Pas de tendance significatives </t>
  </si>
  <si>
    <t>Présence de tendances significatives</t>
  </si>
  <si>
    <t>II.3.c)</t>
  </si>
  <si>
    <t>II.3.d)</t>
  </si>
  <si>
    <t>Vérifier le critère B.5.2.c</t>
  </si>
  <si>
    <t>Les échantillons sont stables, le Zscore est à utiliser pour évaluer la performance des participants</t>
  </si>
  <si>
    <t>Les échantillons ne sont pas assez  stables, utiliser Z'score pour évaluer la performance des participants</t>
  </si>
  <si>
    <t>III) Récapitulatif des décisions concernant les essais de stabilité et d'homogénéité selon l'ISO 13528 : 2022  Annexe B  page 53-56</t>
  </si>
  <si>
    <t>Les échantillons sont homogènes selon les critères de l'annexe B de la norme ISO 13528:2022, σpt est à utiliser pour évaluer la performance des participants</t>
  </si>
  <si>
    <t>Un des critères d'homogénéité décrit dans l'annexe B de la norme ISO 13528:2022 n'est pas respecté, σ'pt est à utiliser pour évaluer la performance des participants</t>
  </si>
  <si>
    <t>Décision concernant les essais d'homogénéité et de stabilité :</t>
  </si>
  <si>
    <t xml:space="preserve">Paragraphe B.4.1.3 Différence entre les répétitions au niveau des essais de stabilité </t>
  </si>
  <si>
    <r>
      <rPr>
        <b/>
        <sz val="11"/>
        <rFont val="Calibri"/>
        <family val="2"/>
        <scheme val="minor"/>
      </rPr>
      <t>Choix du mode d'expression du σpt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3"/>
        <color rgb="FFFF0000"/>
        <rFont val="Calibri"/>
        <family val="2"/>
        <scheme val="minor"/>
      </rPr>
      <t xml:space="preserve">Indiquer σpt au niveau I.5) dans le tableau avant de commencer l'évaluation de l'homogénéité et la stabilité: </t>
    </r>
  </si>
  <si>
    <t>Choisir nombre d'échantillons ( g entre 2 et 4)</t>
  </si>
  <si>
    <t xml:space="preserve">Rédacteur </t>
  </si>
  <si>
    <t xml:space="preserve">Mode </t>
  </si>
  <si>
    <t>Médiane</t>
  </si>
  <si>
    <t>NOT OK</t>
  </si>
  <si>
    <t>Médiane ou mode?</t>
  </si>
  <si>
    <t>± classe de différence par rapporrt à la valeur assignée :</t>
  </si>
  <si>
    <t>I) Vérification de l'homogénieté des échantillons selon l'ISO/IEC 17043: 2023  Annexe B.2.4  page 32</t>
  </si>
  <si>
    <t>Nombre d'échantillons ( g ):</t>
  </si>
  <si>
    <t>Nombre de prise d'essai ( m ):</t>
  </si>
  <si>
    <t>Code d'échantillons d'homogénéité</t>
  </si>
  <si>
    <t>Décision Résultat 1</t>
  </si>
  <si>
    <t>Décision Résultat 2</t>
  </si>
  <si>
    <t xml:space="preserve">Mode: </t>
  </si>
  <si>
    <t xml:space="preserve">Médiane: </t>
  </si>
  <si>
    <t>Décision sur l'homogénéité de l'entité souumise à l'Ed'A:</t>
  </si>
  <si>
    <t>II) Vérification de la stabilité des échantillons à la fin de la période du déroulement de l'essai d'aptitude selon l'ISO/IEC 17043: 2023  Annexe B.2.4  page 32</t>
  </si>
  <si>
    <t>Résultats après distribution des entités soumises à l'Ed'A</t>
  </si>
  <si>
    <t>Décision pour les résultats après distribution des entités soumises à l'Ed'A:</t>
  </si>
  <si>
    <t xml:space="preserve">Décision Mode: </t>
  </si>
  <si>
    <t xml:space="preserve">Décison Médiane: </t>
  </si>
  <si>
    <t>Décision sur la stabilité des entités soumises à l'Ed'A entre le début et la fin de la compagne:</t>
  </si>
  <si>
    <t xml:space="preserve">II.2) Vérification de la stabilité au cours du stockage </t>
  </si>
  <si>
    <t>Date des essais de stabilité N° 1</t>
  </si>
  <si>
    <t>Date des essais de stabilité N° 2</t>
  </si>
  <si>
    <t>Date des essais de stabilité N° 3</t>
  </si>
  <si>
    <t>Date des essais de stabilité après la fin de la compagne</t>
  </si>
  <si>
    <r>
      <t xml:space="preserve">Résultats après distribution des entités soumises à l'Ed'A pour </t>
    </r>
    <r>
      <rPr>
        <b/>
        <sz val="14"/>
        <color theme="4" tint="-0.499984740745262"/>
        <rFont val="Calibri"/>
        <family val="2"/>
        <scheme val="minor"/>
      </rPr>
      <t>essai de stabilité N°1</t>
    </r>
  </si>
  <si>
    <r>
      <t>Résultats après distribution des entités soumises à l'Ed'A pour</t>
    </r>
    <r>
      <rPr>
        <b/>
        <sz val="14"/>
        <color theme="4" tint="-0.499984740745262"/>
        <rFont val="Calibri"/>
        <family val="2"/>
        <scheme val="minor"/>
      </rPr>
      <t xml:space="preserve"> essai de stabilité N°2</t>
    </r>
  </si>
  <si>
    <r>
      <t>Résultats après distribution des entités soumises à l'Ed'A pour</t>
    </r>
    <r>
      <rPr>
        <b/>
        <sz val="14"/>
        <color theme="4" tint="-0.499984740745262"/>
        <rFont val="Calibri"/>
        <family val="2"/>
        <scheme val="minor"/>
      </rPr>
      <t xml:space="preserve"> essai de stabilité N°3</t>
    </r>
  </si>
  <si>
    <t xml:space="preserve">Résultats après la réception du dernier résultat des participants : </t>
  </si>
  <si>
    <t>Essais de stabilité N°1</t>
  </si>
  <si>
    <t>Essais de stabilité N°2</t>
  </si>
  <si>
    <t>Essais de stabilité N°3</t>
  </si>
  <si>
    <t>Décision sur l'essai de stabilité des entités soumises à l'Ed'A au cours de la compagne:</t>
  </si>
  <si>
    <t xml:space="preserve">II.2) Vérification de la stabilité au cours du transport </t>
  </si>
  <si>
    <t xml:space="preserve">Conditions de simulation de l'effet de transport: </t>
  </si>
  <si>
    <t xml:space="preserve">Essais de stabilité après simulation des conditions de transport </t>
  </si>
  <si>
    <t>Décision sur l'essai de stabilité des entités soumises à l'Ed'A après simulation des conditions de transport:</t>
  </si>
  <si>
    <t>III) Récapitulatif des décisions concernant les essais de stabilité et d'homogénéité selon l'ISO/IEC 17043: 2023  Annexe B.2.4  page 32</t>
  </si>
  <si>
    <t xml:space="preserve">Décision sur la stabilité et l'homogénéité de l'entité soumise à l'essai d'aptitude: </t>
  </si>
  <si>
    <t>ESSAIS QUANTITATIFS</t>
  </si>
  <si>
    <t xml:space="preserve">Sr : </t>
  </si>
  <si>
    <t>Appliquer le test de Cochran pour éliminer certains échantillons et les indiquer ci-dessous</t>
  </si>
  <si>
    <t>I.4-c)</t>
  </si>
  <si>
    <t>Passer à I.5)</t>
  </si>
  <si>
    <t>Si²</t>
  </si>
  <si>
    <t>p laboratoires</t>
  </si>
  <si>
    <t>n=2</t>
  </si>
  <si>
    <t>-</t>
  </si>
  <si>
    <t>Test de Cochran</t>
  </si>
  <si>
    <t xml:space="preserve">Vérification </t>
  </si>
  <si>
    <t>Somme Si²</t>
  </si>
  <si>
    <t>Si²max</t>
  </si>
  <si>
    <t>C</t>
  </si>
  <si>
    <t>G critique (1%)</t>
  </si>
  <si>
    <t>G critique (5%)</t>
  </si>
  <si>
    <t xml:space="preserve">Décision </t>
  </si>
  <si>
    <t>Valeurs maximales Si</t>
  </si>
  <si>
    <t>Echantillon à éliminer</t>
  </si>
  <si>
    <t>Paragraphe B.1.1. Ss/σpt &lt; 0,5</t>
  </si>
  <si>
    <t>Le rapport sr/σpt est supérieur ou égal à 0,5</t>
  </si>
  <si>
    <t xml:space="preserve">Critère de tolérance d'une non homogénieté </t>
  </si>
  <si>
    <t>Dégradation de couleur</t>
  </si>
  <si>
    <t>Dégorgement - Acétate (CA)</t>
  </si>
  <si>
    <t>Dégorgement - Cotton (CO)</t>
  </si>
  <si>
    <t>Dégorgement - Polyamide (PA)</t>
  </si>
  <si>
    <t>Dégorgement - Polyester(PES)</t>
  </si>
  <si>
    <t>Dégorgement - Polyacrylique (PAN)</t>
  </si>
  <si>
    <t>Dégorgement - Laine (WO)</t>
  </si>
  <si>
    <t>Dégorgement - Triacétate (CTA)</t>
  </si>
  <si>
    <t>Dégorgement - Viscose (CV)</t>
  </si>
  <si>
    <t>lx1-x2l</t>
  </si>
  <si>
    <t>Code d'échantillons de stabilité</t>
  </si>
  <si>
    <t>Résultats après distribution des entités soumises à l'Ed'A pour essai de stabilité N°1</t>
  </si>
  <si>
    <t>Décision pour les résultats de l'essai de stabilité N°1:</t>
  </si>
  <si>
    <t>Résultats après distribution des entités soumises à l'Ed'A pour essai de stabilité N°2</t>
  </si>
  <si>
    <t>Décision pour les résultats de l'essai de stabilité N°2:</t>
  </si>
  <si>
    <t>Résultats après distribution des entités soumises à l'Ed'A pour essai de stabilité N°3</t>
  </si>
  <si>
    <t>Décision pour les résultats de l'essai de stabilité N°3:</t>
  </si>
  <si>
    <t>Décision pour les résultats de l'essai après la réception du dernier résultat des participants :</t>
  </si>
  <si>
    <t>Essais de stabilité N°1 :</t>
  </si>
  <si>
    <t>Essais de stabilité N°2 :</t>
  </si>
  <si>
    <t>Essais de stabilité N°3 :</t>
  </si>
  <si>
    <t>Rédacteur :</t>
  </si>
  <si>
    <t xml:space="preserve">σpt choisi : </t>
  </si>
  <si>
    <t>Facteurs F1 et F2 ISO 13528 : 2022  (p50)</t>
  </si>
  <si>
    <t>L'échantillon n'est pas homogène, utiliser σ'pt pour évaluer la performance</t>
  </si>
  <si>
    <t>L'échantillon n'est pas homogène et le critère n'est pas vérifié</t>
  </si>
  <si>
    <t>Choisir nombre d'échantillons (g entre 2 et 4)</t>
  </si>
  <si>
    <t>I.6)</t>
  </si>
  <si>
    <t>Résultat 3</t>
  </si>
  <si>
    <t>Résultat 4</t>
  </si>
  <si>
    <t>Résultat 5</t>
  </si>
  <si>
    <t>Résultat 6</t>
  </si>
  <si>
    <t>Ss,w²</t>
  </si>
  <si>
    <t>Ss²</t>
  </si>
  <si>
    <t>Resultat 1 (avant distribution) = Résultats homogéniété</t>
  </si>
  <si>
    <t>st²</t>
  </si>
  <si>
    <t>Sw</t>
  </si>
  <si>
    <t>Décision de l'essai de stabilité 2 :</t>
  </si>
  <si>
    <t xml:space="preserve">Moyenne avant essai </t>
  </si>
  <si>
    <t>Moyenne essai stabilité 1</t>
  </si>
  <si>
    <t>Moyenne essai stabilité 2</t>
  </si>
  <si>
    <t>Décision Résultat 3</t>
  </si>
  <si>
    <t>Décision Résultat 4</t>
  </si>
  <si>
    <t>Décision Résultat 5</t>
  </si>
  <si>
    <t>lValeur maximale - valeur minimalel</t>
  </si>
  <si>
    <t>Valeur maximale</t>
  </si>
  <si>
    <t>Valeur minimale</t>
  </si>
  <si>
    <t>Décision Résultat 6</t>
  </si>
  <si>
    <t>Résultats avant distribution des entités soumises à l'Ed'A = Résultats homogénéité</t>
  </si>
  <si>
    <t xml:space="preserve">Mode : </t>
  </si>
  <si>
    <t xml:space="preserve">Médiane : </t>
  </si>
  <si>
    <t>Décision pour les résultats de l'essai de stabilité N°4:</t>
  </si>
  <si>
    <t>± classe de différence par rapport à la valeur assignée :</t>
  </si>
  <si>
    <t>Résultat éliminé s'il y'a lieu :</t>
  </si>
  <si>
    <t>Choisir nombre d'échantillons ( g )</t>
  </si>
  <si>
    <t>Essais à la fin de la campagne</t>
  </si>
  <si>
    <t>Choisir nombre d'échantillons (g)</t>
  </si>
  <si>
    <t>Résultats après simulation des conditions de transport</t>
  </si>
  <si>
    <t>Vérification du critère du paragraphe B.2.3 de l'ISO 13528:2022 Annexe B page 50</t>
  </si>
  <si>
    <t xml:space="preserve">                 Critère  : </t>
  </si>
  <si>
    <t>Paragraphe B.2.1.a) Tendance des valeurs individuelles</t>
  </si>
  <si>
    <t>Pas de valeurs aberrantes détectées</t>
  </si>
  <si>
    <t>TEST DE COCHRAN - ESSAIS QUANTITATIFS</t>
  </si>
  <si>
    <t>Adresse : BP53 Zone Industrielle Technopole Menzel Harb 5036 TUNISIE
Tél : +216 70 146 260 Fax : +216 70 146 269
Mail : info@ttesting.org</t>
  </si>
  <si>
    <t>OK</t>
  </si>
  <si>
    <t>Décision sur la stabilité des entités soumises à l'Ed'A entre le début (Résultats homogéniété) et la fin de la compagne:</t>
  </si>
  <si>
    <t>ESSAIS QUALITATIFS ORDINALES (Essais de solidité)</t>
  </si>
  <si>
    <t>Décision sur l'homogénéité de l'entité soumise à l'Ed'A :</t>
  </si>
  <si>
    <t>Essais à la fin de la compagne:</t>
  </si>
  <si>
    <t>ESSAIS QUALITATIFS ORDINALES</t>
  </si>
  <si>
    <t>Décision sur la stabilité des entités soumises à l'Ed'A entre le début (Résultats homogeniété) et la fin de la compagne:</t>
  </si>
  <si>
    <t>Paragraphe B.4.1.2 Stabilité au cours de l'essai si entité est sensible et suceptible d'être instable au cours du temps</t>
  </si>
  <si>
    <t xml:space="preserve">Paragraphe B.6. Stabilité au transport si entité est sensible et suceptible d'être instable au transport </t>
  </si>
  <si>
    <t>n=3</t>
  </si>
  <si>
    <t>n=4</t>
  </si>
  <si>
    <t>n=5</t>
  </si>
  <si>
    <t>n=6</t>
  </si>
  <si>
    <r>
      <t xml:space="preserve">Analyse de tendance de la distribution des </t>
    </r>
    <r>
      <rPr>
        <b/>
        <sz val="16"/>
        <color rgb="FF0070C0"/>
        <rFont val="Calibri"/>
        <family val="2"/>
        <scheme val="minor"/>
      </rPr>
      <t>résultats 1, 2, 3, 4, 5, 6</t>
    </r>
  </si>
  <si>
    <t>Sw=Sr</t>
  </si>
  <si>
    <t>Resultat 2 (après distribution) et simulation des conditions de transport</t>
  </si>
  <si>
    <t>L'écart entre les valeurs min et max est important vérifier ou si possible remplacer par d'autres résultats</t>
  </si>
  <si>
    <t xml:space="preserve">Conclusion sur la stabilité et l'homogénéité de l'entité soumise à l'essai d'aptitude: </t>
  </si>
  <si>
    <t xml:space="preserve">II.3) Vérification de la stabilité au cours du transport </t>
  </si>
  <si>
    <t>Les échantillons ne sont pas homogènes; éliminer les résultats indiqués en rouge. Ne pas éliminer plus que 1 résultat</t>
  </si>
  <si>
    <t xml:space="preserve">En cas d'une instabilité décision prise et date du PV de réunion </t>
  </si>
  <si>
    <t>HO 001</t>
  </si>
  <si>
    <t>HO 002</t>
  </si>
  <si>
    <t>HO 003</t>
  </si>
  <si>
    <t>HO 004</t>
  </si>
  <si>
    <t>HO 005</t>
  </si>
  <si>
    <t>HO 006</t>
  </si>
  <si>
    <t>HO 007</t>
  </si>
  <si>
    <t>HO 008</t>
  </si>
  <si>
    <t>HO 009</t>
  </si>
  <si>
    <t>HO 010</t>
  </si>
  <si>
    <t>ST001</t>
  </si>
  <si>
    <t>ST002</t>
  </si>
  <si>
    <t xml:space="preserve">Nawress Sidia </t>
  </si>
  <si>
    <t>Red'A</t>
  </si>
  <si>
    <t>Ilef Limem</t>
  </si>
  <si>
    <t>PT COO</t>
  </si>
  <si>
    <t xml:space="preserve">Version </t>
  </si>
  <si>
    <t xml:space="preserve">Date </t>
  </si>
  <si>
    <t>Résumé des modifications</t>
  </si>
  <si>
    <t xml:space="preserve">Création </t>
  </si>
  <si>
    <t>Rédacteur</t>
  </si>
  <si>
    <t xml:space="preserve">Approbateur </t>
  </si>
  <si>
    <t>Fonction</t>
  </si>
  <si>
    <t>Responsable essais d'aptitude</t>
  </si>
  <si>
    <t>Signature</t>
  </si>
  <si>
    <t>ajout de feuille pour la séléction automatique des entitées</t>
  </si>
  <si>
    <t>Responsable Technique et Scientifique</t>
  </si>
  <si>
    <t>Note : cette feuille gère jusqu'à 200 lots (lignes 60 à 259) et jusqu'à 20 échantillons à sélectionner. Pour un total de lots supérieur, sélectionnez la dernière ligne du tableau III, puis étirez les formules des colonnes B à E vers le bas (poignée de recopie). Méthode : chaque lot reçoit une clé aléatoire (RAND) puis un rang unique (RANK) ; les k lots de rang 1 à k sont affectés, dans l'ordre, aux libellés saisis en ligne 8 ; les lots de rang supérieur à k restent en réserve. Cette méthode garantit un tirage sans remise et sans doublon.</t>
  </si>
  <si>
    <t>Statut</t>
  </si>
  <si>
    <t>Rang du tirage</t>
  </si>
  <si>
    <t>Clé aléatoire</t>
  </si>
  <si>
    <t>N° de lot</t>
  </si>
  <si>
    <t>III) Population complète, clé aléatoire, rang et statut (table d'audit — sert aussi de liste de réserve)</t>
  </si>
  <si>
    <t>IMPORTANT — Le tirage utilise la fonction RAND() : il change à CHAQUE recalcul et à CHAQUE réouverture du fichier. Une fois le tirage retenu pour l'essai réel, figez-le immédiatement : sélectionnez les lignes 8-9 (et le tableau ci-dessous), Copier, puis Collage spécial &gt; Valeurs, avant d'archiver ou d'imprimer le document. Sans cette étape, le tirage affiché ne sera pas reproductible et perdra toute valeur de preuve.</t>
  </si>
  <si>
    <t>Renseignez les libellés en bleu (ligne 8) dans l'ordre voulu, sans laisser de case vide entre deux libellés (les cases doivent être remplies à partir de la gauche). Le n° de lot tiré apparaît automatiquement en ligne 9. Pour tirer un nouveau jeu aléatoire, appuyez sur F9 (recalcul).</t>
  </si>
  <si>
    <t>N° de lot tiré</t>
  </si>
  <si>
    <t>STE-002</t>
  </si>
  <si>
    <t>ST-001</t>
  </si>
  <si>
    <t>H-010</t>
  </si>
  <si>
    <t>H-009</t>
  </si>
  <si>
    <t>H-008</t>
  </si>
  <si>
    <t>H-007</t>
  </si>
  <si>
    <t>H-006</t>
  </si>
  <si>
    <t>H-005</t>
  </si>
  <si>
    <t>H-004</t>
  </si>
  <si>
    <t>H-003</t>
  </si>
  <si>
    <t>H-002</t>
  </si>
  <si>
    <t>H-001</t>
  </si>
  <si>
    <t>Libellé</t>
  </si>
  <si>
    <t>II) Résultat du tirage — libellés modifiables, tirage automatique</t>
  </si>
  <si>
    <t>Validation :</t>
  </si>
  <si>
    <t>k : nombre d'échantillons à sélectionner (= nb. de libellés renseignés ci-dessous)</t>
  </si>
  <si>
    <t>N : nombre total de lots / échantillons produits</t>
  </si>
  <si>
    <t>I) Paramètres</t>
  </si>
  <si>
    <t>Sélection aléatoire intelligente d'échantillons (tirage sans remise)</t>
  </si>
  <si>
    <t>Élargissement du facteur appliqué au critère de vérification de l’homogénéité (B.2.3) pour m ≥ 2</t>
  </si>
  <si>
    <t>Réference : FTE 006
Version : 06 du 10/08/2026
Page 1/6</t>
  </si>
  <si>
    <t>Réference : FTE 006
Version : 06 du 10/08/2026
Page 2/6</t>
  </si>
  <si>
    <t>Réference : FTE 006
Version : 06 du 10/08/2026
Page 3/6</t>
  </si>
  <si>
    <t>Réference : FTE 006
Version : 06 du 10/08/2026
Page 4/6</t>
  </si>
  <si>
    <t>Réference : FTE 006
Version : 06 du 10/08/2026
Page 5/6</t>
  </si>
  <si>
    <t>Réference : FTE 006
Version : 06 du 10/08/2026
Page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</si>
</sst>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"/>
    <numFmt numFmtId="165" formatCode="0.0"/>
    <numFmt numFmtId="166" formatCode="0.0000"/>
    <numFmt numFmtId="167" formatCode="0.00000"/>
    <numFmt numFmtId="168" formatCode="0.000000"/>
  </numFmts>
  <fonts count="48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FF0066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name val="Calibri"/>
      <family val="2"/>
    </font>
    <font>
      <b/>
      <sz val="14"/>
      <color theme="4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Calibri"/>
      <family val="2"/>
      <charset val="1"/>
    </font>
    <font>
      <i/>
      <sz val="9"/>
      <color rgb="FF595959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rgb="FF9C0006"/>
      <name val="Arial"/>
      <family val="2"/>
    </font>
    <font>
      <i/>
      <sz val="9"/>
      <color rgb="FF808080"/>
      <name val="Arial"/>
      <family val="2"/>
    </font>
    <font>
      <b/>
      <sz val="11"/>
      <color rgb="FF0000FF"/>
      <name val="Arial"/>
      <family val="2"/>
    </font>
    <font>
      <b/>
      <sz val="14"/>
      <color rgb="FFFFFF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3FF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D9D9"/>
        <bgColor rgb="FFD9E1F2"/>
      </patternFill>
    </fill>
    <fill>
      <patternFill patternType="solid">
        <fgColor rgb="FF1F4E78"/>
        <bgColor rgb="FF003366"/>
      </patternFill>
    </fill>
  </fills>
  <borders count="1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/>
      <bottom/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medium">
        <color rgb="FF00B050"/>
      </right>
      <top style="thick">
        <color rgb="FF00B050"/>
      </top>
      <bottom/>
      <diagonal/>
    </border>
    <border>
      <left/>
      <right style="thin">
        <color auto="1"/>
      </right>
      <top style="thick">
        <color rgb="FF00B05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00B050"/>
      </top>
      <bottom style="thin">
        <color auto="1"/>
      </bottom>
      <diagonal/>
    </border>
    <border>
      <left style="thin">
        <color auto="1"/>
      </left>
      <right style="thick">
        <color rgb="FF00B050"/>
      </right>
      <top style="thick">
        <color rgb="FF00B050"/>
      </top>
      <bottom style="thin">
        <color auto="1"/>
      </bottom>
      <diagonal/>
    </border>
    <border>
      <left style="thick">
        <color rgb="FF00B050"/>
      </left>
      <right/>
      <top/>
      <bottom/>
      <diagonal/>
    </border>
    <border>
      <left style="thin">
        <color auto="1"/>
      </left>
      <right style="thick">
        <color rgb="FF00B05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00B050"/>
      </right>
      <top style="thin">
        <color auto="1"/>
      </top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/>
      <right style="medium">
        <color rgb="FF00B050"/>
      </right>
      <top/>
      <bottom style="thick">
        <color rgb="FF00B050"/>
      </bottom>
      <diagonal/>
    </border>
    <border>
      <left style="medium">
        <color rgb="FF00B050"/>
      </left>
      <right/>
      <top/>
      <bottom style="thick">
        <color rgb="FF00B050"/>
      </bottom>
      <diagonal/>
    </border>
    <border>
      <left/>
      <right style="thin">
        <color rgb="FF00B050"/>
      </right>
      <top/>
      <bottom style="thick">
        <color rgb="FF00B050"/>
      </bottom>
      <diagonal/>
    </border>
    <border>
      <left style="thin">
        <color rgb="FF00B050"/>
      </left>
      <right/>
      <top style="medium">
        <color rgb="FF00B050"/>
      </top>
      <bottom/>
      <diagonal/>
    </border>
    <border>
      <left style="thin">
        <color rgb="FF00B050"/>
      </left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 style="medium">
        <color rgb="FF00B05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00B050"/>
      </right>
      <top style="medium">
        <color rgb="FF00B050"/>
      </top>
      <bottom/>
      <diagonal/>
    </border>
    <border>
      <left/>
      <right style="thick">
        <color rgb="FF00B050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rgb="FF00B050"/>
      </bottom>
      <diagonal/>
    </border>
    <border>
      <left/>
      <right/>
      <top style="thin">
        <color indexed="64"/>
      </top>
      <bottom style="medium">
        <color rgb="FF00B050"/>
      </bottom>
      <diagonal/>
    </border>
    <border>
      <left/>
      <right style="thick">
        <color rgb="FF00B050"/>
      </right>
      <top style="thin">
        <color indexed="64"/>
      </top>
      <bottom style="medium">
        <color rgb="FF00B050"/>
      </bottom>
      <diagonal/>
    </border>
    <border>
      <left style="thin">
        <color auto="1"/>
      </left>
      <right/>
      <top style="thick">
        <color rgb="FF00B050"/>
      </top>
      <bottom style="thin">
        <color auto="1"/>
      </bottom>
      <diagonal/>
    </border>
    <border>
      <left/>
      <right/>
      <top style="thick">
        <color rgb="FF00B050"/>
      </top>
      <bottom style="thin">
        <color auto="1"/>
      </bottom>
      <diagonal/>
    </border>
    <border>
      <left/>
      <right style="thick">
        <color rgb="FF00B050"/>
      </right>
      <top style="thick">
        <color rgb="FF00B050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B050"/>
      </right>
      <top style="thick">
        <color rgb="FF00B050"/>
      </top>
      <bottom/>
      <diagonal/>
    </border>
    <border>
      <left style="medium">
        <color rgb="FF00B050"/>
      </left>
      <right/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thin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medium">
        <color rgb="FF00B050"/>
      </left>
      <right/>
      <top style="thin">
        <color auto="1"/>
      </top>
      <bottom style="medium">
        <color rgb="FF00B050"/>
      </bottom>
      <diagonal/>
    </border>
    <border>
      <left/>
      <right style="thin">
        <color indexed="64"/>
      </right>
      <top style="thin">
        <color auto="1"/>
      </top>
      <bottom style="medium">
        <color rgb="FF00B050"/>
      </bottom>
      <diagonal/>
    </border>
    <border>
      <left style="medium">
        <color rgb="FF00B050"/>
      </left>
      <right/>
      <top style="thin">
        <color auto="1"/>
      </top>
      <bottom style="thin">
        <color indexed="64"/>
      </bottom>
      <diagonal/>
    </border>
    <border>
      <left style="medium">
        <color rgb="FF00B050"/>
      </left>
      <right/>
      <top style="thick">
        <color rgb="FF00B050"/>
      </top>
      <bottom style="thin">
        <color auto="1"/>
      </bottom>
      <diagonal/>
    </border>
    <border>
      <left/>
      <right style="thin">
        <color auto="1"/>
      </right>
      <top style="thick">
        <color rgb="FF00B050"/>
      </top>
      <bottom/>
      <diagonal/>
    </border>
    <border>
      <left style="thin">
        <color auto="1"/>
      </left>
      <right style="thin">
        <color auto="1"/>
      </right>
      <top style="thick">
        <color rgb="FF00B050"/>
      </top>
      <bottom/>
      <diagonal/>
    </border>
    <border>
      <left/>
      <right style="thick">
        <color rgb="FF00B050"/>
      </right>
      <top style="thin">
        <color indexed="64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 style="medium">
        <color rgb="FF00B050"/>
      </right>
      <top/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 style="medium">
        <color rgb="FF00B050"/>
      </right>
      <top style="thin">
        <color rgb="FF00B050"/>
      </top>
      <bottom/>
      <diagonal/>
    </border>
    <border>
      <left style="thin">
        <color rgb="FF00B050"/>
      </left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2">
    <xf numFmtId="0" fontId="0" fillId="0" borderId="0"/>
    <xf numFmtId="0" fontId="39" fillId="0" borderId="0"/>
  </cellStyleXfs>
  <cellXfs count="1068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5" fillId="0" borderId="0" xfId="0" applyFont="1"/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2" fontId="0" fillId="0" borderId="0" xfId="0" applyNumberFormat="1"/>
    <xf numFmtId="2" fontId="2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1" fillId="0" borderId="0" xfId="0" applyFont="1"/>
    <xf numFmtId="0" fontId="21" fillId="0" borderId="16" xfId="0" applyFont="1" applyBorder="1"/>
    <xf numFmtId="0" fontId="21" fillId="0" borderId="17" xfId="0" applyFont="1" applyBorder="1"/>
    <xf numFmtId="0" fontId="21" fillId="0" borderId="18" xfId="0" applyFont="1" applyBorder="1"/>
    <xf numFmtId="0" fontId="0" fillId="0" borderId="19" xfId="0" applyBorder="1"/>
    <xf numFmtId="0" fontId="0" fillId="0" borderId="1" xfId="0" applyBorder="1"/>
    <xf numFmtId="0" fontId="0" fillId="0" borderId="20" xfId="0" applyBorder="1"/>
    <xf numFmtId="0" fontId="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/>
    </xf>
    <xf numFmtId="2" fontId="0" fillId="0" borderId="1" xfId="0" applyNumberFormat="1" applyBorder="1"/>
    <xf numFmtId="2" fontId="15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2" fontId="0" fillId="0" borderId="20" xfId="0" applyNumberFormat="1" applyBorder="1"/>
    <xf numFmtId="2" fontId="0" fillId="0" borderId="23" xfId="0" applyNumberFormat="1" applyBorder="1"/>
    <xf numFmtId="0" fontId="15" fillId="0" borderId="0" xfId="0" applyFont="1" applyAlignment="1">
      <alignment vertical="center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/>
    <xf numFmtId="0" fontId="3" fillId="0" borderId="19" xfId="0" applyFont="1" applyBorder="1"/>
    <xf numFmtId="0" fontId="3" fillId="0" borderId="20" xfId="0" applyFont="1" applyBorder="1"/>
    <xf numFmtId="2" fontId="2" fillId="0" borderId="22" xfId="0" applyNumberFormat="1" applyFont="1" applyBorder="1" applyAlignment="1" applyProtection="1">
      <alignment horizontal="center" vertical="center"/>
      <protection locked="0"/>
    </xf>
    <xf numFmtId="0" fontId="3" fillId="0" borderId="21" xfId="0" applyFont="1" applyBorder="1"/>
    <xf numFmtId="0" fontId="3" fillId="0" borderId="23" xfId="0" applyFont="1" applyBorder="1"/>
    <xf numFmtId="0" fontId="3" fillId="0" borderId="1" xfId="0" applyFont="1" applyBorder="1"/>
    <xf numFmtId="0" fontId="3" fillId="0" borderId="22" xfId="0" applyFont="1" applyBorder="1"/>
    <xf numFmtId="0" fontId="17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/>
    </xf>
    <xf numFmtId="0" fontId="0" fillId="0" borderId="0" xfId="0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0" fontId="15" fillId="0" borderId="12" xfId="0" applyFont="1" applyBorder="1" applyAlignment="1">
      <alignment horizontal="left" vertical="center"/>
    </xf>
    <xf numFmtId="167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vertical="center"/>
      <protection locked="0"/>
    </xf>
    <xf numFmtId="0" fontId="10" fillId="0" borderId="0" xfId="0" applyFont="1"/>
    <xf numFmtId="0" fontId="0" fillId="0" borderId="0" xfId="0" applyProtection="1">
      <protection locked="0"/>
    </xf>
    <xf numFmtId="0" fontId="24" fillId="0" borderId="0" xfId="0" applyFont="1" applyAlignment="1">
      <alignment wrapText="1"/>
    </xf>
    <xf numFmtId="0" fontId="15" fillId="0" borderId="115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2" fontId="2" fillId="0" borderId="0" xfId="0" applyNumberFormat="1" applyFont="1" applyAlignment="1" applyProtection="1">
      <alignment vertical="center" wrapText="1"/>
      <protection locked="0"/>
    </xf>
    <xf numFmtId="2" fontId="16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2" fontId="2" fillId="0" borderId="0" xfId="0" applyNumberFormat="1" applyFont="1" applyAlignment="1" applyProtection="1">
      <alignment horizontal="center" vertical="center"/>
      <protection locked="0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 wrapText="1"/>
    </xf>
    <xf numFmtId="0" fontId="0" fillId="0" borderId="0" xfId="0" applyAlignment="1" applyProtection="1">
      <alignment horizontal="center" vertical="center"/>
      <protection locked="0"/>
    </xf>
    <xf numFmtId="0" fontId="1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66" fontId="0" fillId="0" borderId="0" xfId="0" applyNumberFormat="1"/>
    <xf numFmtId="2" fontId="2" fillId="0" borderId="0" xfId="0" applyNumberFormat="1" applyFont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right"/>
    </xf>
    <xf numFmtId="166" fontId="0" fillId="0" borderId="13" xfId="0" applyNumberFormat="1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16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2" fontId="2" fillId="0" borderId="13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166" fontId="24" fillId="0" borderId="0" xfId="0" applyNumberFormat="1" applyFont="1" applyAlignment="1">
      <alignment wrapText="1"/>
    </xf>
    <xf numFmtId="2" fontId="0" fillId="0" borderId="22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4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0" borderId="128" xfId="0" applyNumberFormat="1" applyBorder="1" applyAlignment="1">
      <alignment horizontal="center"/>
    </xf>
    <xf numFmtId="2" fontId="0" fillId="0" borderId="129" xfId="0" applyNumberFormat="1" applyBorder="1" applyAlignment="1">
      <alignment horizontal="center"/>
    </xf>
    <xf numFmtId="0" fontId="24" fillId="0" borderId="0" xfId="0" applyFont="1" applyAlignment="1">
      <alignment horizontal="center" vertical="center" wrapText="1"/>
    </xf>
    <xf numFmtId="14" fontId="0" fillId="0" borderId="0" xfId="0" applyNumberFormat="1" applyAlignment="1" applyProtection="1">
      <alignment horizontal="center" vertical="center"/>
      <protection locked="0"/>
    </xf>
    <xf numFmtId="0" fontId="24" fillId="0" borderId="0" xfId="0" applyFont="1" applyAlignment="1">
      <alignment horizontal="right" vertical="top"/>
    </xf>
    <xf numFmtId="2" fontId="2" fillId="0" borderId="10" xfId="0" applyNumberFormat="1" applyFont="1" applyBorder="1" applyAlignment="1" applyProtection="1">
      <alignment horizontal="center" vertical="center"/>
      <protection locked="0"/>
    </xf>
    <xf numFmtId="2" fontId="2" fillId="0" borderId="49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0" fillId="0" borderId="0" xfId="0" applyFont="1"/>
    <xf numFmtId="9" fontId="0" fillId="0" borderId="1" xfId="0" applyNumberFormat="1" applyBorder="1" applyAlignment="1">
      <alignment horizontal="center" vertical="center"/>
    </xf>
    <xf numFmtId="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right"/>
    </xf>
    <xf numFmtId="164" fontId="31" fillId="0" borderId="1" xfId="0" applyNumberFormat="1" applyFont="1" applyBorder="1" applyAlignment="1">
      <alignment horizontal="right"/>
    </xf>
    <xf numFmtId="0" fontId="0" fillId="0" borderId="21" xfId="0" applyBorder="1" applyAlignment="1">
      <alignment horizontal="center"/>
    </xf>
    <xf numFmtId="164" fontId="31" fillId="0" borderId="22" xfId="0" applyNumberFormat="1" applyFont="1" applyBorder="1" applyAlignment="1">
      <alignment horizontal="right"/>
    </xf>
    <xf numFmtId="0" fontId="0" fillId="0" borderId="0" xfId="0" applyAlignment="1">
      <alignment wrapText="1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165" fontId="2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2" fontId="13" fillId="0" borderId="1" xfId="0" applyNumberFormat="1" applyFont="1" applyBorder="1" applyAlignment="1">
      <alignment horizontal="center" vertical="center"/>
    </xf>
    <xf numFmtId="2" fontId="13" fillId="0" borderId="20" xfId="0" applyNumberFormat="1" applyFont="1" applyBorder="1" applyAlignment="1">
      <alignment horizontal="center" vertical="center"/>
    </xf>
    <xf numFmtId="2" fontId="13" fillId="0" borderId="22" xfId="0" applyNumberFormat="1" applyFont="1" applyBorder="1" applyAlignment="1">
      <alignment horizontal="center" vertical="center"/>
    </xf>
    <xf numFmtId="2" fontId="13" fillId="0" borderId="23" xfId="0" applyNumberFormat="1" applyFont="1" applyBorder="1" applyAlignment="1">
      <alignment horizontal="center" vertical="center"/>
    </xf>
    <xf numFmtId="165" fontId="13" fillId="0" borderId="19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0" borderId="21" xfId="0" applyNumberFormat="1" applyFont="1" applyBorder="1" applyAlignment="1">
      <alignment horizontal="center" vertical="center"/>
    </xf>
    <xf numFmtId="165" fontId="13" fillId="0" borderId="22" xfId="0" applyNumberFormat="1" applyFont="1" applyBorder="1" applyAlignment="1">
      <alignment horizontal="center" vertical="center"/>
    </xf>
    <xf numFmtId="165" fontId="13" fillId="0" borderId="23" xfId="0" applyNumberFormat="1" applyFont="1" applyBorder="1" applyAlignment="1">
      <alignment horizontal="center" vertical="center"/>
    </xf>
    <xf numFmtId="2" fontId="0" fillId="0" borderId="17" xfId="0" applyNumberFormat="1" applyBorder="1"/>
    <xf numFmtId="2" fontId="13" fillId="0" borderId="0" xfId="0" applyNumberFormat="1" applyFont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2" fillId="0" borderId="2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17" fillId="0" borderId="0" xfId="0" applyFont="1" applyAlignment="1">
      <alignment vertical="center" wrapText="1"/>
    </xf>
    <xf numFmtId="0" fontId="3" fillId="6" borderId="52" xfId="0" applyFont="1" applyFill="1" applyBorder="1" applyAlignment="1">
      <alignment horizontal="center" vertical="center" wrapText="1"/>
    </xf>
    <xf numFmtId="0" fontId="3" fillId="6" borderId="53" xfId="0" applyFont="1" applyFill="1" applyBorder="1" applyAlignment="1">
      <alignment horizontal="center" vertical="center" wrapText="1"/>
    </xf>
    <xf numFmtId="0" fontId="3" fillId="6" borderId="103" xfId="0" applyFont="1" applyFill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33" fillId="0" borderId="22" xfId="0" applyFont="1" applyBorder="1" applyAlignment="1">
      <alignment vertical="center" wrapText="1"/>
    </xf>
    <xf numFmtId="0" fontId="33" fillId="0" borderId="23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2" fontId="13" fillId="0" borderId="19" xfId="0" applyNumberFormat="1" applyFont="1" applyBorder="1" applyAlignment="1">
      <alignment horizontal="center" vertical="center"/>
    </xf>
    <xf numFmtId="2" fontId="13" fillId="0" borderId="21" xfId="0" applyNumberFormat="1" applyFont="1" applyBorder="1" applyAlignment="1">
      <alignment horizontal="center" vertical="center"/>
    </xf>
    <xf numFmtId="2" fontId="0" fillId="0" borderId="22" xfId="0" applyNumberForma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2" fontId="2" fillId="0" borderId="12" xfId="0" applyNumberFormat="1" applyFont="1" applyBorder="1" applyAlignment="1" applyProtection="1">
      <alignment horizontal="center" vertical="center"/>
      <protection locked="0"/>
    </xf>
    <xf numFmtId="2" fontId="2" fillId="0" borderId="20" xfId="0" applyNumberFormat="1" applyFont="1" applyBorder="1" applyAlignment="1" applyProtection="1">
      <alignment horizontal="center" vertical="center"/>
      <protection locked="0"/>
    </xf>
    <xf numFmtId="2" fontId="2" fillId="0" borderId="48" xfId="0" applyNumberFormat="1" applyFont="1" applyBorder="1" applyAlignment="1" applyProtection="1">
      <alignment horizontal="center" vertical="center"/>
      <protection locked="0"/>
    </xf>
    <xf numFmtId="2" fontId="2" fillId="0" borderId="23" xfId="0" applyNumberFormat="1" applyFont="1" applyBorder="1" applyAlignment="1" applyProtection="1">
      <alignment horizontal="center" vertical="center"/>
      <protection locked="0"/>
    </xf>
    <xf numFmtId="0" fontId="0" fillId="0" borderId="29" xfId="0" applyBorder="1"/>
    <xf numFmtId="0" fontId="3" fillId="0" borderId="12" xfId="0" applyFont="1" applyBorder="1"/>
    <xf numFmtId="2" fontId="2" fillId="0" borderId="7" xfId="0" applyNumberFormat="1" applyFont="1" applyBorder="1" applyAlignment="1" applyProtection="1">
      <alignment horizontal="center" vertical="center"/>
      <protection locked="0"/>
    </xf>
    <xf numFmtId="2" fontId="35" fillId="0" borderId="1" xfId="0" applyNumberFormat="1" applyFont="1" applyBorder="1" applyAlignment="1" applyProtection="1">
      <alignment horizontal="center" vertical="center" wrapText="1"/>
      <protection locked="0"/>
    </xf>
    <xf numFmtId="2" fontId="35" fillId="0" borderId="22" xfId="0" applyNumberFormat="1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36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horizontal="right"/>
    </xf>
    <xf numFmtId="0" fontId="36" fillId="0" borderId="20" xfId="0" applyFont="1" applyBorder="1" applyAlignment="1">
      <alignment vertical="center" wrapText="1"/>
    </xf>
    <xf numFmtId="0" fontId="0" fillId="0" borderId="22" xfId="0" applyBorder="1" applyAlignment="1">
      <alignment horizontal="right"/>
    </xf>
    <xf numFmtId="0" fontId="36" fillId="0" borderId="22" xfId="0" applyFont="1" applyBorder="1" applyAlignment="1">
      <alignment vertical="center" wrapText="1"/>
    </xf>
    <xf numFmtId="0" fontId="36" fillId="0" borderId="23" xfId="0" applyFont="1" applyBorder="1" applyAlignment="1">
      <alignment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9" borderId="0" xfId="0" applyFill="1"/>
    <xf numFmtId="0" fontId="38" fillId="0" borderId="0" xfId="0" applyFont="1" applyAlignment="1">
      <alignment horizontal="left" vertical="center" wrapText="1"/>
    </xf>
    <xf numFmtId="0" fontId="38" fillId="0" borderId="0" xfId="0" applyFont="1" applyAlignment="1">
      <alignment vertical="center"/>
    </xf>
    <xf numFmtId="14" fontId="38" fillId="0" borderId="0" xfId="0" applyNumberFormat="1" applyFont="1" applyAlignment="1">
      <alignment horizontal="right" vertical="center"/>
    </xf>
    <xf numFmtId="14" fontId="38" fillId="0" borderId="0" xfId="0" applyNumberFormat="1" applyFont="1" applyAlignment="1">
      <alignment vertical="center"/>
    </xf>
    <xf numFmtId="0" fontId="39" fillId="0" borderId="0" xfId="1"/>
    <xf numFmtId="0" fontId="41" fillId="0" borderId="130" xfId="1" applyFont="1" applyBorder="1" applyAlignment="1">
      <alignment horizontal="left" vertical="center" wrapText="1"/>
    </xf>
    <xf numFmtId="1" fontId="41" fillId="0" borderId="130" xfId="1" applyNumberFormat="1" applyFont="1" applyBorder="1" applyAlignment="1">
      <alignment horizontal="center" vertical="center" wrapText="1"/>
    </xf>
    <xf numFmtId="168" fontId="41" fillId="0" borderId="130" xfId="1" applyNumberFormat="1" applyFont="1" applyBorder="1" applyAlignment="1">
      <alignment horizontal="center" vertical="center" wrapText="1"/>
    </xf>
    <xf numFmtId="0" fontId="42" fillId="12" borderId="130" xfId="1" applyFont="1" applyFill="1" applyBorder="1" applyAlignment="1">
      <alignment horizontal="center" vertical="center" wrapText="1"/>
    </xf>
    <xf numFmtId="0" fontId="43" fillId="0" borderId="130" xfId="1" applyFont="1" applyBorder="1" applyAlignment="1">
      <alignment horizontal="center" vertical="center" wrapText="1"/>
    </xf>
    <xf numFmtId="1" fontId="43" fillId="0" borderId="130" xfId="1" applyNumberFormat="1" applyFont="1" applyBorder="1" applyAlignment="1">
      <alignment horizontal="center" vertical="center" wrapText="1"/>
    </xf>
    <xf numFmtId="0" fontId="42" fillId="15" borderId="130" xfId="1" applyFont="1" applyFill="1" applyBorder="1" applyAlignment="1">
      <alignment horizontal="center" vertical="center" wrapText="1"/>
    </xf>
    <xf numFmtId="0" fontId="46" fillId="12" borderId="130" xfId="1" applyFont="1" applyFill="1" applyBorder="1" applyAlignment="1">
      <alignment horizontal="center" vertical="center" wrapText="1"/>
    </xf>
    <xf numFmtId="0" fontId="42" fillId="15" borderId="130" xfId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20" fillId="0" borderId="3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0" fillId="11" borderId="45" xfId="0" applyFill="1" applyBorder="1" applyAlignment="1">
      <alignment horizontal="center" vertical="center"/>
    </xf>
    <xf numFmtId="0" fontId="0" fillId="11" borderId="46" xfId="0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/>
    </xf>
    <xf numFmtId="0" fontId="0" fillId="11" borderId="32" xfId="0" applyFill="1" applyBorder="1" applyAlignment="1">
      <alignment horizontal="center" vertical="center"/>
    </xf>
    <xf numFmtId="0" fontId="0" fillId="11" borderId="47" xfId="0" applyFill="1" applyBorder="1" applyAlignment="1">
      <alignment horizontal="center" vertical="center"/>
    </xf>
    <xf numFmtId="0" fontId="0" fillId="11" borderId="33" xfId="0" applyFill="1" applyBorder="1" applyAlignment="1">
      <alignment horizontal="center" vertical="center"/>
    </xf>
    <xf numFmtId="0" fontId="0" fillId="11" borderId="29" xfId="0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14" fontId="0" fillId="0" borderId="52" xfId="0" applyNumberFormat="1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37" fillId="0" borderId="52" xfId="0" applyFont="1" applyBorder="1" applyAlignment="1">
      <alignment horizontal="center" vertical="center" wrapText="1"/>
    </xf>
    <xf numFmtId="0" fontId="37" fillId="0" borderId="53" xfId="0" applyFont="1" applyBorder="1" applyAlignment="1">
      <alignment horizontal="center" vertical="center" wrapText="1"/>
    </xf>
    <xf numFmtId="0" fontId="37" fillId="0" borderId="103" xfId="0" applyFont="1" applyBorder="1" applyAlignment="1">
      <alignment horizontal="center" vertical="center" wrapText="1"/>
    </xf>
    <xf numFmtId="14" fontId="0" fillId="0" borderId="45" xfId="0" applyNumberFormat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0" fontId="37" fillId="0" borderId="32" xfId="0" applyFont="1" applyBorder="1" applyAlignment="1">
      <alignment horizontal="center" vertical="center"/>
    </xf>
    <xf numFmtId="0" fontId="37" fillId="0" borderId="33" xfId="0" applyFont="1" applyBorder="1" applyAlignment="1">
      <alignment horizontal="center" vertical="center"/>
    </xf>
    <xf numFmtId="0" fontId="3" fillId="11" borderId="45" xfId="0" applyFont="1" applyFill="1" applyBorder="1" applyAlignment="1">
      <alignment horizontal="center" vertical="center"/>
    </xf>
    <xf numFmtId="0" fontId="3" fillId="11" borderId="46" xfId="0" applyFont="1" applyFill="1" applyBorder="1" applyAlignment="1">
      <alignment horizontal="center" vertical="center"/>
    </xf>
    <xf numFmtId="0" fontId="3" fillId="11" borderId="47" xfId="0" applyFont="1" applyFill="1" applyBorder="1" applyAlignment="1">
      <alignment horizontal="center" vertical="center"/>
    </xf>
    <xf numFmtId="0" fontId="3" fillId="11" borderId="31" xfId="0" applyFont="1" applyFill="1" applyBorder="1" applyAlignment="1">
      <alignment horizontal="center" vertical="center"/>
    </xf>
    <xf numFmtId="0" fontId="3" fillId="11" borderId="32" xfId="0" applyFont="1" applyFill="1" applyBorder="1" applyAlignment="1">
      <alignment horizontal="center" vertical="center"/>
    </xf>
    <xf numFmtId="0" fontId="3" fillId="11" borderId="33" xfId="0" applyFont="1" applyFill="1" applyBorder="1" applyAlignment="1">
      <alignment horizontal="center" vertical="center"/>
    </xf>
    <xf numFmtId="0" fontId="43" fillId="13" borderId="131" xfId="1" applyFont="1" applyFill="1" applyBorder="1" applyAlignment="1">
      <alignment horizontal="center" vertical="center" wrapText="1"/>
    </xf>
    <xf numFmtId="0" fontId="40" fillId="0" borderId="0" xfId="1" applyFont="1" applyAlignment="1">
      <alignment horizontal="left" vertical="center" wrapText="1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47" fillId="16" borderId="131" xfId="1" applyFont="1" applyFill="1" applyBorder="1" applyAlignment="1">
      <alignment horizontal="center" vertical="center" wrapText="1"/>
    </xf>
    <xf numFmtId="1" fontId="46" fillId="0" borderId="131" xfId="1" applyNumberFormat="1" applyFont="1" applyBorder="1" applyAlignment="1">
      <alignment horizontal="center" vertical="center" wrapText="1"/>
    </xf>
    <xf numFmtId="0" fontId="42" fillId="0" borderId="132" xfId="1" applyFont="1" applyBorder="1" applyAlignment="1">
      <alignment horizontal="left" vertical="center" wrapText="1"/>
    </xf>
    <xf numFmtId="1" fontId="41" fillId="0" borderId="131" xfId="1" applyNumberFormat="1" applyFont="1" applyBorder="1" applyAlignment="1">
      <alignment horizontal="center" vertical="center" wrapText="1"/>
    </xf>
    <xf numFmtId="0" fontId="42" fillId="0" borderId="0" xfId="1" applyFont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5" fillId="0" borderId="0" xfId="1" applyFont="1" applyAlignment="1">
      <alignment horizontal="left" vertical="center" wrapText="1"/>
    </xf>
    <xf numFmtId="0" fontId="44" fillId="14" borderId="45" xfId="1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14" fontId="0" fillId="0" borderId="10" xfId="0" applyNumberFormat="1" applyBorder="1" applyAlignment="1" applyProtection="1">
      <alignment horizontal="center"/>
      <protection locked="0"/>
    </xf>
    <xf numFmtId="14" fontId="0" fillId="0" borderId="12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1" fontId="0" fillId="0" borderId="10" xfId="0" applyNumberFormat="1" applyBorder="1" applyAlignment="1" applyProtection="1">
      <alignment horizontal="center"/>
      <protection locked="0"/>
    </xf>
    <xf numFmtId="1" fontId="0" fillId="0" borderId="12" xfId="0" applyNumberFormat="1" applyBorder="1" applyAlignment="1" applyProtection="1">
      <alignment horizontal="center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0" fontId="15" fillId="0" borderId="113" xfId="0" applyFont="1" applyBorder="1" applyAlignment="1">
      <alignment horizontal="left" vertical="center"/>
    </xf>
    <xf numFmtId="0" fontId="15" fillId="0" borderId="77" xfId="0" applyFont="1" applyBorder="1" applyAlignment="1">
      <alignment horizontal="left" vertical="center"/>
    </xf>
    <xf numFmtId="0" fontId="15" fillId="0" borderId="114" xfId="0" applyFont="1" applyBorder="1" applyAlignment="1">
      <alignment horizontal="left" vertical="center"/>
    </xf>
    <xf numFmtId="0" fontId="9" fillId="8" borderId="108" xfId="0" applyFont="1" applyFill="1" applyBorder="1" applyAlignment="1">
      <alignment horizontal="center" vertical="center" wrapText="1"/>
    </xf>
    <xf numFmtId="0" fontId="9" fillId="8" borderId="54" xfId="0" applyFont="1" applyFill="1" applyBorder="1" applyAlignment="1">
      <alignment horizontal="center" vertical="center" wrapText="1"/>
    </xf>
    <xf numFmtId="0" fontId="9" fillId="8" borderId="109" xfId="0" applyFont="1" applyFill="1" applyBorder="1" applyAlignment="1">
      <alignment horizontal="center" vertical="center" wrapText="1"/>
    </xf>
    <xf numFmtId="0" fontId="9" fillId="8" borderId="68" xfId="0" applyFont="1" applyFill="1" applyBorder="1" applyAlignment="1">
      <alignment horizontal="center" vertical="center" wrapText="1"/>
    </xf>
    <xf numFmtId="0" fontId="9" fillId="8" borderId="66" xfId="0" applyFont="1" applyFill="1" applyBorder="1" applyAlignment="1">
      <alignment horizontal="center" vertical="center" wrapText="1"/>
    </xf>
    <xf numFmtId="0" fontId="9" fillId="8" borderId="69" xfId="0" applyFont="1" applyFill="1" applyBorder="1" applyAlignment="1">
      <alignment horizontal="center" vertical="center" wrapText="1"/>
    </xf>
    <xf numFmtId="0" fontId="10" fillId="0" borderId="70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74" xfId="0" applyFont="1" applyBorder="1" applyAlignment="1">
      <alignment horizontal="center" vertical="center" wrapText="1"/>
    </xf>
    <xf numFmtId="0" fontId="10" fillId="0" borderId="71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72" xfId="0" applyFont="1" applyBorder="1" applyAlignment="1">
      <alignment horizontal="center" vertical="center" wrapText="1"/>
    </xf>
    <xf numFmtId="0" fontId="11" fillId="2" borderId="88" xfId="0" applyFont="1" applyFill="1" applyBorder="1" applyAlignment="1">
      <alignment horizontal="left" vertical="center"/>
    </xf>
    <xf numFmtId="0" fontId="11" fillId="2" borderId="89" xfId="0" applyFont="1" applyFill="1" applyBorder="1" applyAlignment="1">
      <alignment horizontal="left" vertical="center"/>
    </xf>
    <xf numFmtId="0" fontId="11" fillId="2" borderId="90" xfId="0" applyFont="1" applyFill="1" applyBorder="1" applyAlignment="1">
      <alignment horizontal="left" vertical="center"/>
    </xf>
    <xf numFmtId="0" fontId="24" fillId="0" borderId="70" xfId="0" applyFont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24" fillId="0" borderId="120" xfId="0" applyFont="1" applyBorder="1" applyAlignment="1">
      <alignment horizontal="left" vertical="center" wrapText="1"/>
    </xf>
    <xf numFmtId="0" fontId="24" fillId="0" borderId="121" xfId="0" applyFont="1" applyBorder="1" applyAlignment="1">
      <alignment horizontal="left" vertical="center" wrapText="1"/>
    </xf>
    <xf numFmtId="0" fontId="24" fillId="0" borderId="111" xfId="0" applyFont="1" applyBorder="1" applyAlignment="1">
      <alignment horizontal="left" vertical="center" wrapText="1"/>
    </xf>
    <xf numFmtId="0" fontId="24" fillId="0" borderId="122" xfId="0" applyFont="1" applyBorder="1" applyAlignment="1">
      <alignment horizontal="left" vertical="center" wrapText="1"/>
    </xf>
    <xf numFmtId="0" fontId="24" fillId="0" borderId="123" xfId="0" applyFont="1" applyBorder="1" applyAlignment="1">
      <alignment horizontal="left" vertical="center" wrapText="1"/>
    </xf>
    <xf numFmtId="0" fontId="24" fillId="0" borderId="106" xfId="0" applyFont="1" applyBorder="1" applyAlignment="1">
      <alignment horizontal="left" vertical="center" wrapText="1"/>
    </xf>
    <xf numFmtId="0" fontId="24" fillId="0" borderId="124" xfId="0" applyFont="1" applyBorder="1" applyAlignment="1">
      <alignment horizontal="left" vertical="center" wrapText="1"/>
    </xf>
    <xf numFmtId="0" fontId="24" fillId="0" borderId="71" xfId="0" applyFont="1" applyBorder="1" applyAlignment="1">
      <alignment horizontal="left" vertical="center" wrapText="1"/>
    </xf>
    <xf numFmtId="0" fontId="24" fillId="0" borderId="66" xfId="0" applyFont="1" applyBorder="1" applyAlignment="1">
      <alignment horizontal="left" vertical="center" wrapText="1"/>
    </xf>
    <xf numFmtId="0" fontId="24" fillId="0" borderId="67" xfId="0" applyFont="1" applyBorder="1" applyAlignment="1">
      <alignment horizontal="left" vertical="center" wrapText="1"/>
    </xf>
    <xf numFmtId="0" fontId="10" fillId="0" borderId="125" xfId="0" applyFont="1" applyBorder="1" applyAlignment="1">
      <alignment horizontal="left" vertical="center" wrapText="1"/>
    </xf>
    <xf numFmtId="0" fontId="10" fillId="0" borderId="57" xfId="0" applyFont="1" applyBorder="1" applyAlignment="1">
      <alignment horizontal="left" vertical="center" wrapText="1"/>
    </xf>
    <xf numFmtId="0" fontId="10" fillId="0" borderId="126" xfId="0" applyFont="1" applyBorder="1" applyAlignment="1">
      <alignment horizontal="left" vertical="center" wrapText="1"/>
    </xf>
    <xf numFmtId="0" fontId="10" fillId="0" borderId="71" xfId="0" applyFont="1" applyBorder="1" applyAlignment="1">
      <alignment horizontal="left" vertical="center" wrapText="1"/>
    </xf>
    <xf numFmtId="0" fontId="10" fillId="0" borderId="66" xfId="0" applyFont="1" applyBorder="1" applyAlignment="1">
      <alignment horizontal="left" vertical="center" wrapText="1"/>
    </xf>
    <xf numFmtId="0" fontId="10" fillId="0" borderId="72" xfId="0" applyFont="1" applyBorder="1" applyAlignment="1">
      <alignment horizontal="left" vertical="center" wrapText="1"/>
    </xf>
    <xf numFmtId="0" fontId="9" fillId="8" borderId="108" xfId="0" applyFont="1" applyFill="1" applyBorder="1" applyAlignment="1">
      <alignment horizontal="left" vertical="center"/>
    </xf>
    <xf numFmtId="0" fontId="9" fillId="8" borderId="54" xfId="0" applyFont="1" applyFill="1" applyBorder="1" applyAlignment="1">
      <alignment horizontal="left" vertical="center"/>
    </xf>
    <xf numFmtId="0" fontId="9" fillId="8" borderId="109" xfId="0" applyFont="1" applyFill="1" applyBorder="1" applyAlignment="1">
      <alignment horizontal="left" vertical="center"/>
    </xf>
    <xf numFmtId="0" fontId="9" fillId="8" borderId="110" xfId="0" applyFont="1" applyFill="1" applyBorder="1" applyAlignment="1">
      <alignment horizontal="left" vertical="center"/>
    </xf>
    <xf numFmtId="0" fontId="9" fillId="8" borderId="111" xfId="0" applyFont="1" applyFill="1" applyBorder="1" applyAlignment="1">
      <alignment horizontal="left" vertical="center"/>
    </xf>
    <xf numFmtId="0" fontId="9" fillId="8" borderId="112" xfId="0" applyFont="1" applyFill="1" applyBorder="1" applyAlignment="1">
      <alignment horizontal="left" vertical="center"/>
    </xf>
    <xf numFmtId="0" fontId="9" fillId="8" borderId="105" xfId="0" applyFont="1" applyFill="1" applyBorder="1" applyAlignment="1">
      <alignment horizontal="left" vertical="center"/>
    </xf>
    <xf numFmtId="0" fontId="9" fillId="8" borderId="106" xfId="0" applyFont="1" applyFill="1" applyBorder="1" applyAlignment="1">
      <alignment horizontal="left" vertical="center"/>
    </xf>
    <xf numFmtId="0" fontId="9" fillId="8" borderId="107" xfId="0" applyFont="1" applyFill="1" applyBorder="1" applyAlignment="1">
      <alignment horizontal="left" vertical="center"/>
    </xf>
    <xf numFmtId="0" fontId="9" fillId="8" borderId="68" xfId="0" applyFont="1" applyFill="1" applyBorder="1" applyAlignment="1">
      <alignment horizontal="left" vertical="center"/>
    </xf>
    <xf numFmtId="0" fontId="9" fillId="8" borderId="66" xfId="0" applyFont="1" applyFill="1" applyBorder="1" applyAlignment="1">
      <alignment horizontal="left" vertical="center"/>
    </xf>
    <xf numFmtId="0" fontId="9" fillId="8" borderId="69" xfId="0" applyFont="1" applyFill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15" fillId="0" borderId="116" xfId="0" applyFont="1" applyBorder="1" applyAlignment="1">
      <alignment horizontal="left" vertical="center"/>
    </xf>
    <xf numFmtId="0" fontId="15" fillId="0" borderId="80" xfId="0" applyFont="1" applyBorder="1" applyAlignment="1">
      <alignment horizontal="left" vertical="center"/>
    </xf>
    <xf numFmtId="0" fontId="15" fillId="0" borderId="59" xfId="0" applyFont="1" applyBorder="1" applyAlignment="1">
      <alignment horizontal="left" vertical="center"/>
    </xf>
    <xf numFmtId="0" fontId="15" fillId="0" borderId="115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6" fontId="2" fillId="0" borderId="12" xfId="0" applyNumberFormat="1" applyFon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0" borderId="15" xfId="0" applyFont="1" applyBorder="1" applyAlignment="1">
      <alignment horizontal="left" vertical="center" wrapText="1"/>
    </xf>
    <xf numFmtId="0" fontId="4" fillId="0" borderId="64" xfId="0" applyFont="1" applyBorder="1" applyAlignment="1">
      <alignment horizontal="left" vertical="center" wrapText="1"/>
    </xf>
    <xf numFmtId="0" fontId="16" fillId="7" borderId="37" xfId="0" applyFont="1" applyFill="1" applyBorder="1" applyAlignment="1">
      <alignment horizontal="left" vertical="center"/>
    </xf>
    <xf numFmtId="0" fontId="16" fillId="7" borderId="38" xfId="0" applyFont="1" applyFill="1" applyBorder="1" applyAlignment="1">
      <alignment horizontal="left" vertical="center"/>
    </xf>
    <xf numFmtId="0" fontId="16" fillId="7" borderId="39" xfId="0" applyFont="1" applyFill="1" applyBorder="1" applyAlignment="1">
      <alignment horizontal="left" vertical="center"/>
    </xf>
    <xf numFmtId="14" fontId="0" fillId="0" borderId="10" xfId="0" applyNumberFormat="1" applyBorder="1" applyAlignment="1" applyProtection="1">
      <alignment horizontal="center" vertical="center"/>
      <protection locked="0"/>
    </xf>
    <xf numFmtId="14" fontId="0" fillId="0" borderId="11" xfId="0" applyNumberFormat="1" applyBorder="1" applyAlignment="1" applyProtection="1">
      <alignment horizontal="center" vertical="center"/>
      <protection locked="0"/>
    </xf>
    <xf numFmtId="14" fontId="0" fillId="0" borderId="12" xfId="0" applyNumberFormat="1" applyBorder="1" applyAlignment="1" applyProtection="1">
      <alignment horizontal="center" vertical="center"/>
      <protection locked="0"/>
    </xf>
    <xf numFmtId="0" fontId="0" fillId="3" borderId="10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4" fontId="2" fillId="0" borderId="49" xfId="0" applyNumberFormat="1" applyFont="1" applyBorder="1" applyAlignment="1">
      <alignment horizontal="center"/>
    </xf>
    <xf numFmtId="164" fontId="2" fillId="0" borderId="48" xfId="0" applyNumberFormat="1" applyFont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2" fontId="15" fillId="0" borderId="27" xfId="0" applyNumberFormat="1" applyFont="1" applyBorder="1" applyAlignment="1">
      <alignment horizontal="center" vertical="center" wrapText="1"/>
    </xf>
    <xf numFmtId="2" fontId="15" fillId="0" borderId="3" xfId="0" applyNumberFormat="1" applyFont="1" applyBorder="1" applyAlignment="1">
      <alignment horizontal="center" vertical="center" wrapText="1"/>
    </xf>
    <xf numFmtId="2" fontId="15" fillId="0" borderId="28" xfId="0" applyNumberFormat="1" applyFont="1" applyBorder="1" applyAlignment="1">
      <alignment horizontal="center" vertical="center" wrapText="1"/>
    </xf>
    <xf numFmtId="2" fontId="15" fillId="0" borderId="31" xfId="0" applyNumberFormat="1" applyFont="1" applyBorder="1" applyAlignment="1">
      <alignment horizontal="center" vertical="center" wrapText="1"/>
    </xf>
    <xf numFmtId="2" fontId="15" fillId="0" borderId="32" xfId="0" applyNumberFormat="1" applyFont="1" applyBorder="1" applyAlignment="1">
      <alignment horizontal="center" vertical="center" wrapText="1"/>
    </xf>
    <xf numFmtId="2" fontId="15" fillId="0" borderId="33" xfId="0" applyNumberFormat="1" applyFont="1" applyBorder="1" applyAlignment="1">
      <alignment horizontal="center" vertical="center" wrapText="1"/>
    </xf>
    <xf numFmtId="0" fontId="15" fillId="0" borderId="37" xfId="0" applyFont="1" applyBorder="1" applyAlignment="1" applyProtection="1">
      <alignment horizontal="center" vertical="center"/>
      <protection locked="0"/>
    </xf>
    <xf numFmtId="0" fontId="15" fillId="0" borderId="38" xfId="0" applyFont="1" applyBorder="1" applyAlignment="1" applyProtection="1">
      <alignment horizontal="center" vertical="center"/>
      <protection locked="0"/>
    </xf>
    <xf numFmtId="0" fontId="15" fillId="0" borderId="39" xfId="0" applyFont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2" fontId="15" fillId="0" borderId="19" xfId="0" applyNumberFormat="1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2" fontId="15" fillId="0" borderId="21" xfId="0" applyNumberFormat="1" applyFont="1" applyBorder="1" applyAlignment="1">
      <alignment horizontal="center" vertical="center" wrapText="1"/>
    </xf>
    <xf numFmtId="2" fontId="15" fillId="0" borderId="22" xfId="0" applyNumberFormat="1" applyFont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right" vertical="center"/>
    </xf>
    <xf numFmtId="0" fontId="3" fillId="3" borderId="53" xfId="0" applyFont="1" applyFill="1" applyBorder="1" applyAlignment="1">
      <alignment horizontal="right" vertical="center"/>
    </xf>
    <xf numFmtId="0" fontId="3" fillId="3" borderId="45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 wrapText="1"/>
    </xf>
    <xf numFmtId="0" fontId="3" fillId="3" borderId="99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100" xfId="0" applyFont="1" applyFill="1" applyBorder="1" applyAlignment="1">
      <alignment horizontal="center" vertical="center" wrapText="1"/>
    </xf>
    <xf numFmtId="0" fontId="5" fillId="0" borderId="91" xfId="0" applyFont="1" applyBorder="1" applyAlignment="1" applyProtection="1">
      <alignment horizontal="center" vertical="center" wrapText="1"/>
      <protection locked="0"/>
    </xf>
    <xf numFmtId="0" fontId="5" fillId="0" borderId="46" xfId="0" applyFont="1" applyBorder="1" applyAlignment="1" applyProtection="1">
      <alignment horizontal="center" vertical="center" wrapText="1"/>
      <protection locked="0"/>
    </xf>
    <xf numFmtId="0" fontId="5" fillId="0" borderId="47" xfId="0" applyFont="1" applyBorder="1" applyAlignment="1" applyProtection="1">
      <alignment horizontal="center" vertical="center" wrapText="1"/>
      <protection locked="0"/>
    </xf>
    <xf numFmtId="0" fontId="5" fillId="0" borderId="101" xfId="0" applyFont="1" applyBorder="1" applyAlignment="1" applyProtection="1">
      <alignment horizontal="center" vertical="center" wrapText="1"/>
      <protection locked="0"/>
    </xf>
    <xf numFmtId="0" fontId="5" fillId="0" borderId="32" xfId="0" applyFont="1" applyBorder="1" applyAlignment="1" applyProtection="1">
      <alignment horizontal="center" vertical="center" wrapText="1"/>
      <protection locked="0"/>
    </xf>
    <xf numFmtId="0" fontId="5" fillId="0" borderId="33" xfId="0" applyFont="1" applyBorder="1" applyAlignment="1" applyProtection="1">
      <alignment horizontal="center" vertical="center" wrapText="1"/>
      <protection locked="0"/>
    </xf>
    <xf numFmtId="0" fontId="18" fillId="0" borderId="45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0" fillId="0" borderId="76" xfId="0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0" fillId="0" borderId="78" xfId="0" applyBorder="1" applyAlignment="1">
      <alignment horizontal="left" vertical="center"/>
    </xf>
    <xf numFmtId="0" fontId="17" fillId="2" borderId="24" xfId="0" applyFont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3" fillId="4" borderId="37" xfId="0" applyFont="1" applyFill="1" applyBorder="1" applyAlignment="1">
      <alignment horizontal="left" vertical="center" wrapText="1"/>
    </xf>
    <xf numFmtId="0" fontId="3" fillId="4" borderId="38" xfId="0" applyFont="1" applyFill="1" applyBorder="1" applyAlignment="1">
      <alignment horizontal="left" vertical="center" wrapText="1"/>
    </xf>
    <xf numFmtId="0" fontId="3" fillId="4" borderId="39" xfId="0" applyFont="1" applyFill="1" applyBorder="1" applyAlignment="1">
      <alignment horizontal="left" vertical="center" wrapText="1"/>
    </xf>
    <xf numFmtId="2" fontId="16" fillId="0" borderId="24" xfId="0" applyNumberFormat="1" applyFont="1" applyBorder="1" applyAlignment="1">
      <alignment horizontal="left" vertical="center" wrapText="1"/>
    </xf>
    <xf numFmtId="2" fontId="16" fillId="0" borderId="25" xfId="0" applyNumberFormat="1" applyFont="1" applyBorder="1" applyAlignment="1">
      <alignment horizontal="left" vertical="center" wrapText="1"/>
    </xf>
    <xf numFmtId="2" fontId="16" fillId="0" borderId="50" xfId="0" applyNumberFormat="1" applyFont="1" applyBorder="1" applyAlignment="1">
      <alignment horizontal="left" vertical="center" wrapText="1"/>
    </xf>
    <xf numFmtId="2" fontId="16" fillId="2" borderId="42" xfId="0" applyNumberFormat="1" applyFont="1" applyFill="1" applyBorder="1" applyAlignment="1">
      <alignment horizontal="center" vertical="center" wrapText="1"/>
    </xf>
    <xf numFmtId="2" fontId="16" fillId="2" borderId="43" xfId="0" applyNumberFormat="1" applyFont="1" applyFill="1" applyBorder="1" applyAlignment="1">
      <alignment horizontal="center" vertical="center" wrapText="1"/>
    </xf>
    <xf numFmtId="2" fontId="16" fillId="2" borderId="48" xfId="0" applyNumberFormat="1" applyFont="1" applyFill="1" applyBorder="1" applyAlignment="1">
      <alignment horizontal="center" vertical="center" wrapText="1"/>
    </xf>
    <xf numFmtId="0" fontId="11" fillId="2" borderId="37" xfId="0" applyFont="1" applyFill="1" applyBorder="1" applyAlignment="1">
      <alignment horizontal="left" vertical="center"/>
    </xf>
    <xf numFmtId="0" fontId="11" fillId="2" borderId="38" xfId="0" applyFont="1" applyFill="1" applyBorder="1" applyAlignment="1">
      <alignment horizontal="left" vertical="center"/>
    </xf>
    <xf numFmtId="0" fontId="11" fillId="2" borderId="39" xfId="0" applyFont="1" applyFill="1" applyBorder="1" applyAlignment="1">
      <alignment horizontal="left" vertical="center"/>
    </xf>
    <xf numFmtId="2" fontId="0" fillId="0" borderId="10" xfId="0" applyNumberFormat="1" applyBorder="1" applyAlignment="1">
      <alignment vertical="center"/>
    </xf>
    <xf numFmtId="2" fontId="0" fillId="0" borderId="11" xfId="0" applyNumberFormat="1" applyBorder="1" applyAlignment="1">
      <alignment vertical="center"/>
    </xf>
    <xf numFmtId="2" fontId="0" fillId="0" borderId="75" xfId="0" applyNumberFormat="1" applyBorder="1" applyAlignment="1">
      <alignment vertical="center"/>
    </xf>
    <xf numFmtId="0" fontId="15" fillId="0" borderId="12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5" xfId="0" applyBorder="1" applyAlignment="1">
      <alignment horizontal="left" vertical="center"/>
    </xf>
    <xf numFmtId="168" fontId="2" fillId="0" borderId="51" xfId="0" applyNumberFormat="1" applyFont="1" applyBorder="1" applyAlignment="1">
      <alignment horizontal="center" vertical="center" wrapText="1"/>
    </xf>
    <xf numFmtId="168" fontId="2" fillId="0" borderId="25" xfId="0" applyNumberFormat="1" applyFont="1" applyBorder="1" applyAlignment="1">
      <alignment horizontal="center" vertical="center" wrapText="1"/>
    </xf>
    <xf numFmtId="168" fontId="2" fillId="0" borderId="26" xfId="0" applyNumberFormat="1" applyFont="1" applyBorder="1" applyAlignment="1">
      <alignment horizontal="center" vertical="center" wrapText="1"/>
    </xf>
    <xf numFmtId="0" fontId="15" fillId="0" borderId="117" xfId="0" applyFont="1" applyBorder="1" applyAlignment="1">
      <alignment horizontal="left" vertical="center"/>
    </xf>
    <xf numFmtId="0" fontId="15" fillId="0" borderId="118" xfId="0" applyFont="1" applyBorder="1" applyAlignment="1">
      <alignment horizontal="left" vertical="center"/>
    </xf>
    <xf numFmtId="2" fontId="0" fillId="0" borderId="79" xfId="0" applyNumberFormat="1" applyBorder="1" applyAlignment="1">
      <alignment vertical="center" wrapText="1"/>
    </xf>
    <xf numFmtId="2" fontId="0" fillId="0" borderId="80" xfId="0" applyNumberFormat="1" applyBorder="1" applyAlignment="1">
      <alignment vertical="center" wrapText="1"/>
    </xf>
    <xf numFmtId="2" fontId="0" fillId="0" borderId="81" xfId="0" applyNumberFormat="1" applyBorder="1" applyAlignment="1">
      <alignment vertical="center" wrapText="1"/>
    </xf>
    <xf numFmtId="0" fontId="3" fillId="0" borderId="70" xfId="0" applyFont="1" applyBorder="1" applyAlignment="1">
      <alignment vertical="center" wrapText="1"/>
    </xf>
    <xf numFmtId="0" fontId="3" fillId="0" borderId="54" xfId="0" applyFont="1" applyBorder="1" applyAlignment="1">
      <alignment vertical="center" wrapText="1"/>
    </xf>
    <xf numFmtId="0" fontId="3" fillId="0" borderId="74" xfId="0" applyFont="1" applyBorder="1" applyAlignment="1">
      <alignment vertical="center" wrapText="1"/>
    </xf>
    <xf numFmtId="0" fontId="3" fillId="0" borderId="71" xfId="0" applyFont="1" applyBorder="1" applyAlignment="1">
      <alignment vertical="center" wrapText="1"/>
    </xf>
    <xf numFmtId="0" fontId="3" fillId="0" borderId="66" xfId="0" applyFont="1" applyBorder="1" applyAlignment="1">
      <alignment vertical="center" wrapText="1"/>
    </xf>
    <xf numFmtId="0" fontId="3" fillId="0" borderId="7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19" xfId="0" applyBorder="1" applyAlignment="1">
      <alignment vertical="center"/>
    </xf>
    <xf numFmtId="0" fontId="8" fillId="4" borderId="45" xfId="0" applyFont="1" applyFill="1" applyBorder="1" applyAlignment="1">
      <alignment horizontal="center" vertical="center" wrapText="1"/>
    </xf>
    <xf numFmtId="0" fontId="8" fillId="4" borderId="46" xfId="0" applyFont="1" applyFill="1" applyBorder="1" applyAlignment="1">
      <alignment horizontal="center" vertical="center" wrapText="1"/>
    </xf>
    <xf numFmtId="0" fontId="8" fillId="4" borderId="47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0" fontId="0" fillId="0" borderId="19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64" fontId="7" fillId="0" borderId="10" xfId="0" applyNumberFormat="1" applyFont="1" applyBorder="1" applyAlignment="1" applyProtection="1">
      <alignment horizontal="center" wrapText="1"/>
      <protection locked="0"/>
    </xf>
    <xf numFmtId="164" fontId="7" fillId="0" borderId="12" xfId="0" applyNumberFormat="1" applyFont="1" applyBorder="1" applyAlignment="1" applyProtection="1">
      <alignment horizontal="center" wrapText="1"/>
      <protection locked="0"/>
    </xf>
    <xf numFmtId="164" fontId="0" fillId="0" borderId="10" xfId="0" applyNumberFormat="1" applyBorder="1" applyAlignment="1" applyProtection="1">
      <alignment horizontal="center" wrapText="1"/>
      <protection locked="0"/>
    </xf>
    <xf numFmtId="164" fontId="0" fillId="0" borderId="41" xfId="0" applyNumberFormat="1" applyBorder="1" applyAlignment="1" applyProtection="1">
      <alignment horizontal="center" wrapText="1"/>
      <protection locked="0"/>
    </xf>
    <xf numFmtId="166" fontId="0" fillId="0" borderId="1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0" fontId="0" fillId="0" borderId="21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164" fontId="7" fillId="0" borderId="49" xfId="0" applyNumberFormat="1" applyFont="1" applyBorder="1" applyAlignment="1" applyProtection="1">
      <alignment horizontal="center" wrapText="1"/>
      <protection locked="0"/>
    </xf>
    <xf numFmtId="164" fontId="7" fillId="0" borderId="48" xfId="0" applyNumberFormat="1" applyFont="1" applyBorder="1" applyAlignment="1" applyProtection="1">
      <alignment horizontal="center" wrapText="1"/>
      <protection locked="0"/>
    </xf>
    <xf numFmtId="164" fontId="0" fillId="0" borderId="49" xfId="0" applyNumberFormat="1" applyBorder="1" applyAlignment="1" applyProtection="1">
      <alignment horizontal="center" wrapText="1"/>
      <protection locked="0"/>
    </xf>
    <xf numFmtId="164" fontId="0" fillId="0" borderId="44" xfId="0" applyNumberFormat="1" applyBorder="1" applyAlignment="1" applyProtection="1">
      <alignment horizontal="center" wrapText="1"/>
      <protection locked="0"/>
    </xf>
    <xf numFmtId="0" fontId="24" fillId="0" borderId="4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0" fillId="0" borderId="42" xfId="0" applyBorder="1" applyAlignment="1" applyProtection="1">
      <alignment horizontal="center"/>
      <protection locked="0"/>
    </xf>
    <xf numFmtId="0" fontId="0" fillId="0" borderId="43" xfId="0" applyBorder="1" applyAlignment="1" applyProtection="1">
      <alignment horizontal="center"/>
      <protection locked="0"/>
    </xf>
    <xf numFmtId="0" fontId="0" fillId="0" borderId="44" xfId="0" applyBorder="1" applyAlignment="1" applyProtection="1">
      <alignment horizontal="center"/>
      <protection locked="0"/>
    </xf>
    <xf numFmtId="0" fontId="10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28" xfId="0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30" xfId="0" applyFont="1" applyBorder="1" applyAlignment="1" applyProtection="1">
      <alignment horizontal="center" vertical="center" wrapText="1"/>
      <protection locked="0"/>
    </xf>
    <xf numFmtId="0" fontId="4" fillId="3" borderId="15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2" fontId="16" fillId="3" borderId="83" xfId="0" applyNumberFormat="1" applyFont="1" applyFill="1" applyBorder="1" applyAlignment="1">
      <alignment horizontal="center" vertical="center" wrapText="1"/>
    </xf>
    <xf numFmtId="2" fontId="16" fillId="3" borderId="84" xfId="0" applyNumberFormat="1" applyFont="1" applyFill="1" applyBorder="1" applyAlignment="1">
      <alignment horizontal="center" vertical="center" wrapText="1"/>
    </xf>
    <xf numFmtId="164" fontId="2" fillId="0" borderId="84" xfId="0" applyNumberFormat="1" applyFont="1" applyBorder="1" applyAlignment="1">
      <alignment horizontal="center" vertical="center" wrapText="1"/>
    </xf>
    <xf numFmtId="164" fontId="2" fillId="0" borderId="85" xfId="0" applyNumberFormat="1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103" xfId="0" applyFont="1" applyBorder="1" applyAlignment="1">
      <alignment horizontal="center" vertical="center" wrapText="1"/>
    </xf>
    <xf numFmtId="2" fontId="16" fillId="3" borderId="19" xfId="0" applyNumberFormat="1" applyFont="1" applyFill="1" applyBorder="1" applyAlignment="1">
      <alignment horizontal="center" vertical="center" wrapText="1"/>
    </xf>
    <xf numFmtId="2" fontId="16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right" vertical="center"/>
    </xf>
    <xf numFmtId="0" fontId="13" fillId="4" borderId="17" xfId="0" applyFont="1" applyFill="1" applyBorder="1" applyAlignment="1">
      <alignment horizontal="right" vertical="center"/>
    </xf>
    <xf numFmtId="0" fontId="9" fillId="0" borderId="17" xfId="0" applyFont="1" applyBorder="1" applyAlignment="1" applyProtection="1">
      <alignment horizontal="left" vertical="center" wrapText="1"/>
      <protection locked="0"/>
    </xf>
    <xf numFmtId="0" fontId="9" fillId="0" borderId="18" xfId="0" applyFont="1" applyBorder="1" applyAlignment="1" applyProtection="1">
      <alignment horizontal="left" vertical="center" wrapText="1"/>
      <protection locked="0"/>
    </xf>
    <xf numFmtId="0" fontId="13" fillId="4" borderId="19" xfId="0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right" vertical="center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9" fillId="0" borderId="20" xfId="0" applyFont="1" applyBorder="1" applyAlignment="1" applyProtection="1">
      <alignment horizontal="left" vertical="center" wrapText="1"/>
      <protection locked="0"/>
    </xf>
    <xf numFmtId="0" fontId="0" fillId="3" borderId="10" xfId="0" applyFill="1" applyBorder="1" applyAlignment="1">
      <alignment horizontal="right" vertical="center"/>
    </xf>
    <xf numFmtId="0" fontId="0" fillId="3" borderId="11" xfId="0" applyFill="1" applyBorder="1" applyAlignment="1">
      <alignment horizontal="right" vertical="center"/>
    </xf>
    <xf numFmtId="0" fontId="0" fillId="3" borderId="12" xfId="0" applyFill="1" applyBorder="1" applyAlignment="1">
      <alignment horizontal="right" vertical="center"/>
    </xf>
    <xf numFmtId="0" fontId="27" fillId="7" borderId="45" xfId="0" applyFont="1" applyFill="1" applyBorder="1" applyAlignment="1">
      <alignment horizontal="center" vertical="center"/>
    </xf>
    <xf numFmtId="0" fontId="27" fillId="7" borderId="46" xfId="0" applyFont="1" applyFill="1" applyBorder="1" applyAlignment="1">
      <alignment horizontal="center" vertical="center"/>
    </xf>
    <xf numFmtId="0" fontId="27" fillId="7" borderId="47" xfId="0" applyFont="1" applyFill="1" applyBorder="1" applyAlignment="1">
      <alignment horizontal="center" vertical="center"/>
    </xf>
    <xf numFmtId="0" fontId="27" fillId="7" borderId="31" xfId="0" applyFont="1" applyFill="1" applyBorder="1" applyAlignment="1">
      <alignment horizontal="center" vertical="center"/>
    </xf>
    <xf numFmtId="0" fontId="27" fillId="7" borderId="32" xfId="0" applyFont="1" applyFill="1" applyBorder="1" applyAlignment="1">
      <alignment horizontal="center" vertical="center"/>
    </xf>
    <xf numFmtId="0" fontId="27" fillId="7" borderId="33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12" fillId="4" borderId="42" xfId="0" applyFont="1" applyFill="1" applyBorder="1" applyAlignment="1">
      <alignment horizontal="right" vertical="center" wrapText="1"/>
    </xf>
    <xf numFmtId="0" fontId="12" fillId="4" borderId="43" xfId="0" applyFont="1" applyFill="1" applyBorder="1" applyAlignment="1">
      <alignment horizontal="right" vertical="center" wrapText="1"/>
    </xf>
    <xf numFmtId="0" fontId="12" fillId="4" borderId="48" xfId="0" applyFont="1" applyFill="1" applyBorder="1" applyAlignment="1">
      <alignment horizontal="right" vertical="center" wrapText="1"/>
    </xf>
    <xf numFmtId="0" fontId="9" fillId="0" borderId="49" xfId="0" applyFont="1" applyBorder="1" applyAlignment="1" applyProtection="1">
      <alignment horizontal="left" vertical="center" wrapText="1"/>
      <protection locked="0"/>
    </xf>
    <xf numFmtId="0" fontId="9" fillId="0" borderId="43" xfId="0" applyFont="1" applyBorder="1" applyAlignment="1" applyProtection="1">
      <alignment horizontal="left" vertical="center" wrapText="1"/>
      <protection locked="0"/>
    </xf>
    <xf numFmtId="0" fontId="9" fillId="0" borderId="44" xfId="0" applyFont="1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" fillId="0" borderId="31" xfId="0" applyFont="1" applyBorder="1" applyAlignment="1" applyProtection="1">
      <alignment horizontal="center" vertical="center" wrapText="1"/>
      <protection locked="0"/>
    </xf>
    <xf numFmtId="0" fontId="3" fillId="0" borderId="32" xfId="0" applyFont="1" applyBorder="1" applyAlignment="1" applyProtection="1">
      <alignment horizontal="center" vertical="center" wrapText="1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2" fontId="16" fillId="2" borderId="21" xfId="0" applyNumberFormat="1" applyFont="1" applyFill="1" applyBorder="1" applyAlignment="1">
      <alignment horizontal="center" vertical="center" wrapText="1"/>
    </xf>
    <xf numFmtId="2" fontId="16" fillId="2" borderId="22" xfId="0" applyNumberFormat="1" applyFont="1" applyFill="1" applyBorder="1" applyAlignment="1">
      <alignment horizontal="center" vertical="center" wrapText="1"/>
    </xf>
    <xf numFmtId="2" fontId="13" fillId="0" borderId="22" xfId="0" applyNumberFormat="1" applyFont="1" applyBorder="1" applyAlignment="1">
      <alignment horizontal="center" vertical="center" wrapText="1"/>
    </xf>
    <xf numFmtId="2" fontId="13" fillId="0" borderId="23" xfId="0" applyNumberFormat="1" applyFont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41" xfId="0" applyNumberFormat="1" applyBorder="1" applyAlignment="1">
      <alignment horizontal="center"/>
    </xf>
    <xf numFmtId="0" fontId="10" fillId="5" borderId="16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3" fillId="3" borderId="102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96" xfId="0" applyNumberForma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6" borderId="16" xfId="0" applyFill="1" applyBorder="1" applyAlignment="1">
      <alignment horizontal="left"/>
    </xf>
    <xf numFmtId="0" fontId="0" fillId="6" borderId="17" xfId="0" applyFill="1" applyBorder="1" applyAlignment="1">
      <alignment horizontal="left"/>
    </xf>
    <xf numFmtId="0" fontId="0" fillId="6" borderId="51" xfId="0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12" fillId="6" borderId="51" xfId="0" applyFont="1" applyFill="1" applyBorder="1" applyAlignment="1">
      <alignment horizontal="center"/>
    </xf>
    <xf numFmtId="0" fontId="12" fillId="6" borderId="26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41" xfId="0" applyNumberFormat="1" applyBorder="1" applyAlignment="1">
      <alignment horizontal="center"/>
    </xf>
    <xf numFmtId="0" fontId="0" fillId="0" borderId="41" xfId="0" applyBorder="1" applyAlignment="1">
      <alignment horizontal="center"/>
    </xf>
    <xf numFmtId="0" fontId="3" fillId="4" borderId="37" xfId="0" applyFont="1" applyFill="1" applyBorder="1" applyAlignment="1">
      <alignment horizontal="left" vertical="center"/>
    </xf>
    <xf numFmtId="0" fontId="3" fillId="4" borderId="38" xfId="0" applyFont="1" applyFill="1" applyBorder="1" applyAlignment="1">
      <alignment horizontal="left" vertical="center"/>
    </xf>
    <xf numFmtId="0" fontId="3" fillId="4" borderId="39" xfId="0" applyFont="1" applyFill="1" applyBorder="1" applyAlignment="1">
      <alignment horizontal="left" vertical="center"/>
    </xf>
    <xf numFmtId="0" fontId="16" fillId="8" borderId="56" xfId="0" applyFont="1" applyFill="1" applyBorder="1" applyAlignment="1">
      <alignment horizontal="center" vertical="center" wrapText="1"/>
    </xf>
    <xf numFmtId="0" fontId="16" fillId="8" borderId="57" xfId="0" applyFont="1" applyFill="1" applyBorder="1" applyAlignment="1">
      <alignment horizontal="center" vertical="center" wrapText="1"/>
    </xf>
    <xf numFmtId="0" fontId="16" fillId="8" borderId="58" xfId="0" applyFont="1" applyFill="1" applyBorder="1" applyAlignment="1">
      <alignment horizontal="center" vertical="center" wrapText="1"/>
    </xf>
    <xf numFmtId="0" fontId="16" fillId="8" borderId="62" xfId="0" applyFont="1" applyFill="1" applyBorder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16" fillId="8" borderId="55" xfId="0" applyFont="1" applyFill="1" applyBorder="1" applyAlignment="1">
      <alignment horizontal="center" vertical="center" wrapText="1"/>
    </xf>
    <xf numFmtId="0" fontId="16" fillId="8" borderId="65" xfId="0" applyFont="1" applyFill="1" applyBorder="1" applyAlignment="1">
      <alignment horizontal="center" vertical="center" wrapText="1"/>
    </xf>
    <xf numFmtId="0" fontId="16" fillId="8" borderId="66" xfId="0" applyFont="1" applyFill="1" applyBorder="1" applyAlignment="1">
      <alignment horizontal="center" vertical="center" wrapText="1"/>
    </xf>
    <xf numFmtId="0" fontId="16" fillId="8" borderId="67" xfId="0" applyFont="1" applyFill="1" applyBorder="1" applyAlignment="1">
      <alignment horizontal="center" vertical="center" wrapText="1"/>
    </xf>
    <xf numFmtId="166" fontId="3" fillId="0" borderId="45" xfId="0" applyNumberFormat="1" applyFont="1" applyBorder="1" applyAlignment="1">
      <alignment horizontal="center" vertical="center" wrapText="1"/>
    </xf>
    <xf numFmtId="166" fontId="3" fillId="0" borderId="46" xfId="0" applyNumberFormat="1" applyFont="1" applyBorder="1" applyAlignment="1">
      <alignment horizontal="center" vertical="center" wrapText="1"/>
    </xf>
    <xf numFmtId="166" fontId="3" fillId="0" borderId="47" xfId="0" applyNumberFormat="1" applyFont="1" applyBorder="1" applyAlignment="1">
      <alignment horizontal="center" vertical="center" wrapText="1"/>
    </xf>
    <xf numFmtId="166" fontId="3" fillId="0" borderId="31" xfId="0" applyNumberFormat="1" applyFont="1" applyBorder="1" applyAlignment="1">
      <alignment horizontal="center" vertical="center" wrapText="1"/>
    </xf>
    <xf numFmtId="166" fontId="3" fillId="0" borderId="32" xfId="0" applyNumberFormat="1" applyFont="1" applyBorder="1" applyAlignment="1">
      <alignment horizontal="center" vertical="center" wrapText="1"/>
    </xf>
    <xf numFmtId="166" fontId="3" fillId="0" borderId="33" xfId="0" applyNumberFormat="1" applyFont="1" applyBorder="1" applyAlignment="1">
      <alignment horizontal="center" vertical="center" wrapText="1"/>
    </xf>
    <xf numFmtId="0" fontId="15" fillId="0" borderId="73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75" xfId="0" applyBorder="1" applyAlignment="1">
      <alignment vertical="center" wrapText="1"/>
    </xf>
    <xf numFmtId="0" fontId="15" fillId="10" borderId="4" xfId="0" applyFont="1" applyFill="1" applyBorder="1" applyAlignment="1">
      <alignment horizontal="left" vertical="center"/>
    </xf>
    <xf numFmtId="0" fontId="15" fillId="10" borderId="15" xfId="0" applyFont="1" applyFill="1" applyBorder="1" applyAlignment="1">
      <alignment horizontal="left" vertical="center"/>
    </xf>
    <xf numFmtId="2" fontId="2" fillId="0" borderId="49" xfId="0" applyNumberFormat="1" applyFont="1" applyBorder="1" applyAlignment="1">
      <alignment horizontal="center" vertical="center" wrapText="1"/>
    </xf>
    <xf numFmtId="2" fontId="2" fillId="0" borderId="43" xfId="0" applyNumberFormat="1" applyFont="1" applyBorder="1" applyAlignment="1">
      <alignment horizontal="center" vertical="center" wrapText="1"/>
    </xf>
    <xf numFmtId="2" fontId="2" fillId="0" borderId="44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 wrapText="1"/>
    </xf>
    <xf numFmtId="0" fontId="16" fillId="2" borderId="25" xfId="0" applyFont="1" applyFill="1" applyBorder="1" applyAlignment="1">
      <alignment horizontal="center" vertical="center" wrapText="1"/>
    </xf>
    <xf numFmtId="0" fontId="16" fillId="2" borderId="26" xfId="0" applyFont="1" applyFill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82" xfId="0" applyBorder="1" applyAlignment="1" applyProtection="1">
      <alignment horizontal="center" vertical="center"/>
      <protection locked="0"/>
    </xf>
    <xf numFmtId="0" fontId="0" fillId="0" borderId="38" xfId="0" applyBorder="1" applyAlignment="1" applyProtection="1">
      <alignment horizontal="center" vertical="center"/>
      <protection locked="0"/>
    </xf>
    <xf numFmtId="0" fontId="0" fillId="0" borderId="3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5" fillId="0" borderId="37" xfId="0" applyFont="1" applyBorder="1" applyAlignment="1" applyProtection="1">
      <alignment horizontal="left" vertical="center"/>
      <protection locked="0"/>
    </xf>
    <xf numFmtId="0" fontId="15" fillId="0" borderId="38" xfId="0" applyFont="1" applyBorder="1" applyAlignment="1" applyProtection="1">
      <alignment horizontal="left" vertical="center"/>
      <protection locked="0"/>
    </xf>
    <xf numFmtId="0" fontId="15" fillId="0" borderId="39" xfId="0" applyFont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166" fontId="2" fillId="0" borderId="15" xfId="0" applyNumberFormat="1" applyFont="1" applyBorder="1" applyAlignment="1">
      <alignment horizontal="center" vertical="center"/>
    </xf>
    <xf numFmtId="166" fontId="2" fillId="0" borderId="13" xfId="0" applyNumberFormat="1" applyFont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4" fillId="0" borderId="60" xfId="0" applyFont="1" applyBorder="1" applyAlignment="1">
      <alignment horizontal="left" vertical="center" wrapText="1"/>
    </xf>
    <xf numFmtId="0" fontId="4" fillId="0" borderId="61" xfId="0" applyFont="1" applyBorder="1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63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horizontal="left" vertical="center" wrapText="1"/>
    </xf>
    <xf numFmtId="0" fontId="4" fillId="0" borderId="63" xfId="0" applyFont="1" applyBorder="1" applyAlignment="1">
      <alignment horizontal="left" vertical="center" wrapText="1"/>
    </xf>
    <xf numFmtId="0" fontId="11" fillId="8" borderId="56" xfId="0" applyFont="1" applyFill="1" applyBorder="1" applyAlignment="1">
      <alignment horizontal="left" vertical="center"/>
    </xf>
    <xf numFmtId="0" fontId="11" fillId="8" borderId="57" xfId="0" applyFont="1" applyFill="1" applyBorder="1" applyAlignment="1">
      <alignment horizontal="left" vertical="center"/>
    </xf>
    <xf numFmtId="0" fontId="11" fillId="8" borderId="104" xfId="0" applyFont="1" applyFill="1" applyBorder="1" applyAlignment="1">
      <alignment horizontal="left" vertical="center"/>
    </xf>
    <xf numFmtId="0" fontId="11" fillId="8" borderId="65" xfId="0" applyFont="1" applyFill="1" applyBorder="1" applyAlignment="1">
      <alignment horizontal="left" vertical="center"/>
    </xf>
    <xf numFmtId="0" fontId="11" fillId="8" borderId="66" xfId="0" applyFont="1" applyFill="1" applyBorder="1" applyAlignment="1">
      <alignment horizontal="left" vertical="center"/>
    </xf>
    <xf numFmtId="0" fontId="11" fillId="8" borderId="69" xfId="0" applyFont="1" applyFill="1" applyBorder="1" applyAlignment="1">
      <alignment horizontal="left" vertical="center"/>
    </xf>
    <xf numFmtId="0" fontId="5" fillId="0" borderId="4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3" fillId="4" borderId="40" xfId="0" applyFont="1" applyFill="1" applyBorder="1" applyAlignment="1">
      <alignment horizontal="left" vertical="center"/>
    </xf>
    <xf numFmtId="0" fontId="13" fillId="4" borderId="11" xfId="0" applyFont="1" applyFill="1" applyBorder="1" applyAlignment="1">
      <alignment horizontal="left" vertical="center"/>
    </xf>
    <xf numFmtId="0" fontId="13" fillId="4" borderId="12" xfId="0" applyFont="1" applyFill="1" applyBorder="1" applyAlignment="1">
      <alignment horizontal="left" vertical="center"/>
    </xf>
    <xf numFmtId="0" fontId="4" fillId="0" borderId="51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left" vertical="center"/>
    </xf>
    <xf numFmtId="0" fontId="13" fillId="4" borderId="25" xfId="0" applyFont="1" applyFill="1" applyBorder="1" applyAlignment="1">
      <alignment horizontal="left" vertical="center"/>
    </xf>
    <xf numFmtId="0" fontId="13" fillId="4" borderId="50" xfId="0" applyFont="1" applyFill="1" applyBorder="1" applyAlignment="1">
      <alignment horizontal="left" vertical="center"/>
    </xf>
    <xf numFmtId="0" fontId="34" fillId="7" borderId="45" xfId="0" applyFont="1" applyFill="1" applyBorder="1" applyAlignment="1">
      <alignment horizontal="center" vertical="center"/>
    </xf>
    <xf numFmtId="0" fontId="34" fillId="7" borderId="46" xfId="0" applyFont="1" applyFill="1" applyBorder="1" applyAlignment="1">
      <alignment horizontal="center" vertical="center"/>
    </xf>
    <xf numFmtId="0" fontId="34" fillId="7" borderId="47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/>
    </xf>
    <xf numFmtId="0" fontId="34" fillId="7" borderId="32" xfId="0" applyFont="1" applyFill="1" applyBorder="1" applyAlignment="1">
      <alignment horizontal="center" vertical="center"/>
    </xf>
    <xf numFmtId="0" fontId="34" fillId="7" borderId="33" xfId="0" applyFont="1" applyFill="1" applyBorder="1" applyAlignment="1">
      <alignment horizontal="center" vertical="center"/>
    </xf>
    <xf numFmtId="0" fontId="13" fillId="4" borderId="42" xfId="0" applyFont="1" applyFill="1" applyBorder="1" applyAlignment="1">
      <alignment horizontal="left" vertical="center"/>
    </xf>
    <xf numFmtId="0" fontId="13" fillId="4" borderId="43" xfId="0" applyFont="1" applyFill="1" applyBorder="1" applyAlignment="1">
      <alignment horizontal="left" vertical="center"/>
    </xf>
    <xf numFmtId="0" fontId="13" fillId="4" borderId="48" xfId="0" applyFont="1" applyFill="1" applyBorder="1" applyAlignment="1">
      <alignment horizontal="left" vertical="center"/>
    </xf>
    <xf numFmtId="0" fontId="4" fillId="0" borderId="82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5" fillId="3" borderId="4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167" fontId="2" fillId="0" borderId="10" xfId="0" applyNumberFormat="1" applyFont="1" applyBorder="1" applyAlignment="1">
      <alignment horizontal="center" vertical="center"/>
    </xf>
    <xf numFmtId="167" fontId="2" fillId="0" borderId="41" xfId="0" applyNumberFormat="1" applyFont="1" applyBorder="1" applyAlignment="1">
      <alignment horizontal="center" vertical="center"/>
    </xf>
    <xf numFmtId="0" fontId="3" fillId="4" borderId="24" xfId="0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5" fillId="3" borderId="42" xfId="0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6" borderId="1" xfId="0" applyFill="1" applyBorder="1" applyAlignment="1" applyProtection="1">
      <alignment horizontal="center"/>
      <protection locked="0"/>
    </xf>
    <xf numFmtId="0" fontId="0" fillId="6" borderId="19" xfId="0" applyFill="1" applyBorder="1" applyAlignment="1" applyProtection="1">
      <alignment horizontal="center"/>
      <protection locked="0"/>
    </xf>
    <xf numFmtId="0" fontId="24" fillId="6" borderId="45" xfId="0" applyFont="1" applyFill="1" applyBorder="1" applyAlignment="1">
      <alignment horizontal="center" vertical="center"/>
    </xf>
    <xf numFmtId="0" fontId="24" fillId="6" borderId="46" xfId="0" applyFont="1" applyFill="1" applyBorder="1" applyAlignment="1">
      <alignment horizontal="center" vertical="center"/>
    </xf>
    <xf numFmtId="0" fontId="24" fillId="6" borderId="99" xfId="0" applyFont="1" applyFill="1" applyBorder="1" applyAlignment="1">
      <alignment horizontal="center" vertical="center"/>
    </xf>
    <xf numFmtId="0" fontId="24" fillId="6" borderId="31" xfId="0" applyFont="1" applyFill="1" applyBorder="1" applyAlignment="1">
      <alignment horizontal="center" vertical="center"/>
    </xf>
    <xf numFmtId="0" fontId="24" fillId="6" borderId="32" xfId="0" applyFont="1" applyFill="1" applyBorder="1" applyAlignment="1">
      <alignment horizontal="center" vertical="center"/>
    </xf>
    <xf numFmtId="0" fontId="24" fillId="6" borderId="100" xfId="0" applyFont="1" applyFill="1" applyBorder="1" applyAlignment="1">
      <alignment horizontal="center" vertical="center"/>
    </xf>
    <xf numFmtId="0" fontId="24" fillId="6" borderId="29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24" fillId="6" borderId="16" xfId="0" applyFont="1" applyFill="1" applyBorder="1" applyAlignment="1">
      <alignment horizontal="right" vertical="center"/>
    </xf>
    <xf numFmtId="0" fontId="24" fillId="6" borderId="17" xfId="0" applyFont="1" applyFill="1" applyBorder="1" applyAlignment="1">
      <alignment horizontal="right" vertical="center"/>
    </xf>
    <xf numFmtId="0" fontId="24" fillId="6" borderId="17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8" xfId="0" applyFont="1" applyBorder="1" applyAlignment="1">
      <alignment horizontal="center" vertical="center"/>
    </xf>
    <xf numFmtId="0" fontId="24" fillId="5" borderId="19" xfId="0" applyFont="1" applyFill="1" applyBorder="1" applyAlignment="1">
      <alignment horizontal="right" vertical="center"/>
    </xf>
    <xf numFmtId="0" fontId="24" fillId="5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50" xfId="0" applyFont="1" applyFill="1" applyBorder="1" applyAlignment="1">
      <alignment horizontal="center" vertical="center"/>
    </xf>
    <xf numFmtId="0" fontId="3" fillId="6" borderId="4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42" xfId="0" applyFont="1" applyFill="1" applyBorder="1" applyAlignment="1">
      <alignment horizontal="center" vertical="center"/>
    </xf>
    <xf numFmtId="0" fontId="3" fillId="6" borderId="43" xfId="0" applyFont="1" applyFill="1" applyBorder="1" applyAlignment="1">
      <alignment horizontal="center" vertical="center"/>
    </xf>
    <xf numFmtId="0" fontId="3" fillId="6" borderId="48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right" vertical="center" wrapText="1"/>
    </xf>
    <xf numFmtId="0" fontId="17" fillId="2" borderId="22" xfId="0" applyFont="1" applyFill="1" applyBorder="1" applyAlignment="1">
      <alignment horizontal="right" vertical="center" wrapText="1"/>
    </xf>
    <xf numFmtId="0" fontId="17" fillId="0" borderId="22" xfId="0" applyFont="1" applyBorder="1" applyAlignment="1" applyProtection="1">
      <alignment horizontal="left" vertical="center" wrapText="1"/>
      <protection locked="0"/>
    </xf>
    <xf numFmtId="0" fontId="17" fillId="0" borderId="23" xfId="0" applyFont="1" applyBorder="1" applyAlignment="1" applyProtection="1">
      <alignment horizontal="left" vertical="center" wrapText="1"/>
      <protection locked="0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right" vertical="center"/>
    </xf>
    <xf numFmtId="0" fontId="13" fillId="4" borderId="25" xfId="0" applyFont="1" applyFill="1" applyBorder="1" applyAlignment="1">
      <alignment horizontal="right" vertical="center"/>
    </xf>
    <xf numFmtId="0" fontId="13" fillId="4" borderId="50" xfId="0" applyFont="1" applyFill="1" applyBorder="1" applyAlignment="1">
      <alignment horizontal="right" vertical="center"/>
    </xf>
    <xf numFmtId="0" fontId="9" fillId="0" borderId="51" xfId="0" applyFont="1" applyBorder="1" applyAlignment="1" applyProtection="1">
      <alignment horizontal="left" vertical="center" wrapText="1"/>
      <protection locked="0"/>
    </xf>
    <xf numFmtId="0" fontId="9" fillId="0" borderId="25" xfId="0" applyFont="1" applyBorder="1" applyAlignment="1" applyProtection="1">
      <alignment horizontal="left" vertical="center" wrapText="1"/>
      <protection locked="0"/>
    </xf>
    <xf numFmtId="0" fontId="9" fillId="0" borderId="26" xfId="0" applyFont="1" applyBorder="1" applyAlignment="1" applyProtection="1">
      <alignment horizontal="left" vertical="center" wrapText="1"/>
      <protection locked="0"/>
    </xf>
    <xf numFmtId="0" fontId="13" fillId="4" borderId="40" xfId="0" applyFont="1" applyFill="1" applyBorder="1" applyAlignment="1">
      <alignment horizontal="right" vertical="center"/>
    </xf>
    <xf numFmtId="0" fontId="13" fillId="4" borderId="11" xfId="0" applyFont="1" applyFill="1" applyBorder="1" applyAlignment="1">
      <alignment horizontal="right" vertical="center"/>
    </xf>
    <xf numFmtId="0" fontId="13" fillId="4" borderId="12" xfId="0" applyFont="1" applyFill="1" applyBorder="1" applyAlignment="1">
      <alignment horizontal="right" vertical="center"/>
    </xf>
    <xf numFmtId="0" fontId="9" fillId="0" borderId="10" xfId="0" applyFont="1" applyBorder="1" applyAlignment="1" applyProtection="1">
      <alignment horizontal="left" vertical="center" wrapText="1"/>
      <protection locked="0"/>
    </xf>
    <xf numFmtId="0" fontId="9" fillId="0" borderId="11" xfId="0" applyFont="1" applyBorder="1" applyAlignment="1" applyProtection="1">
      <alignment horizontal="left" vertical="center" wrapText="1"/>
      <protection locked="0"/>
    </xf>
    <xf numFmtId="0" fontId="9" fillId="0" borderId="41" xfId="0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0" fillId="6" borderId="21" xfId="0" applyFill="1" applyBorder="1" applyAlignment="1" applyProtection="1">
      <alignment horizontal="center"/>
      <protection locked="0"/>
    </xf>
    <xf numFmtId="0" fontId="0" fillId="6" borderId="22" xfId="0" applyFill="1" applyBorder="1" applyAlignment="1" applyProtection="1">
      <alignment horizontal="center"/>
      <protection locked="0"/>
    </xf>
    <xf numFmtId="0" fontId="24" fillId="6" borderId="16" xfId="0" applyFont="1" applyFill="1" applyBorder="1" applyAlignment="1">
      <alignment horizontal="right" vertical="top" wrapText="1"/>
    </xf>
    <xf numFmtId="0" fontId="24" fillId="6" borderId="17" xfId="0" applyFont="1" applyFill="1" applyBorder="1" applyAlignment="1">
      <alignment horizontal="right" vertical="top" wrapText="1"/>
    </xf>
    <xf numFmtId="0" fontId="24" fillId="6" borderId="19" xfId="0" applyFont="1" applyFill="1" applyBorder="1" applyAlignment="1">
      <alignment horizontal="right" vertical="top" wrapText="1"/>
    </xf>
    <xf numFmtId="0" fontId="24" fillId="6" borderId="1" xfId="0" applyFont="1" applyFill="1" applyBorder="1" applyAlignment="1">
      <alignment horizontal="right" vertical="top" wrapText="1"/>
    </xf>
    <xf numFmtId="0" fontId="24" fillId="6" borderId="21" xfId="0" applyFont="1" applyFill="1" applyBorder="1" applyAlignment="1">
      <alignment horizontal="right" vertical="top" wrapText="1"/>
    </xf>
    <xf numFmtId="0" fontId="24" fillId="6" borderId="22" xfId="0" applyFont="1" applyFill="1" applyBorder="1" applyAlignment="1">
      <alignment horizontal="right" vertical="top" wrapText="1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4" fillId="6" borderId="17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28" fillId="4" borderId="42" xfId="0" applyFont="1" applyFill="1" applyBorder="1" applyAlignment="1">
      <alignment horizontal="right" vertical="center" wrapText="1"/>
    </xf>
    <xf numFmtId="0" fontId="28" fillId="4" borderId="43" xfId="0" applyFont="1" applyFill="1" applyBorder="1" applyAlignment="1">
      <alignment horizontal="right" vertical="center" wrapText="1"/>
    </xf>
    <xf numFmtId="14" fontId="0" fillId="0" borderId="17" xfId="0" applyNumberFormat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4" fillId="6" borderId="51" xfId="0" applyFont="1" applyFill="1" applyBorder="1" applyAlignment="1">
      <alignment horizontal="center" vertical="center" wrapText="1"/>
    </xf>
    <xf numFmtId="0" fontId="24" fillId="6" borderId="10" xfId="0" applyFont="1" applyFill="1" applyBorder="1" applyAlignment="1">
      <alignment horizontal="center" vertical="center" wrapText="1"/>
    </xf>
    <xf numFmtId="0" fontId="24" fillId="6" borderId="16" xfId="0" applyFont="1" applyFill="1" applyBorder="1" applyAlignment="1">
      <alignment horizontal="right"/>
    </xf>
    <xf numFmtId="0" fontId="24" fillId="6" borderId="17" xfId="0" applyFont="1" applyFill="1" applyBorder="1" applyAlignment="1">
      <alignment horizontal="right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14" fontId="0" fillId="0" borderId="17" xfId="0" applyNumberFormat="1" applyBorder="1" applyAlignment="1" applyProtection="1">
      <alignment horizontal="left" vertical="center" wrapText="1"/>
      <protection locked="0"/>
    </xf>
    <xf numFmtId="14" fontId="0" fillId="0" borderId="18" xfId="0" applyNumberFormat="1" applyBorder="1" applyAlignment="1" applyProtection="1">
      <alignment horizontal="left" vertical="center" wrapText="1"/>
      <protection locked="0"/>
    </xf>
    <xf numFmtId="14" fontId="0" fillId="0" borderId="1" xfId="0" applyNumberFormat="1" applyBorder="1" applyAlignment="1" applyProtection="1">
      <alignment horizontal="left" vertical="center" wrapText="1"/>
      <protection locked="0"/>
    </xf>
    <xf numFmtId="14" fontId="0" fillId="0" borderId="20" xfId="0" applyNumberFormat="1" applyBorder="1" applyAlignment="1" applyProtection="1">
      <alignment horizontal="left" vertical="center" wrapText="1"/>
      <protection locked="0"/>
    </xf>
    <xf numFmtId="14" fontId="0" fillId="0" borderId="22" xfId="0" applyNumberFormat="1" applyBorder="1" applyAlignment="1" applyProtection="1">
      <alignment horizontal="left" vertical="center" wrapText="1"/>
      <protection locked="0"/>
    </xf>
    <xf numFmtId="14" fontId="0" fillId="0" borderId="23" xfId="0" applyNumberFormat="1" applyBorder="1" applyAlignment="1" applyProtection="1">
      <alignment horizontal="left" vertical="center" wrapText="1"/>
      <protection locked="0"/>
    </xf>
    <xf numFmtId="0" fontId="15" fillId="0" borderId="52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103" xfId="0" applyFont="1" applyBorder="1" applyAlignment="1">
      <alignment horizontal="center" vertical="center"/>
    </xf>
    <xf numFmtId="0" fontId="3" fillId="6" borderId="94" xfId="0" applyFont="1" applyFill="1" applyBorder="1" applyAlignment="1">
      <alignment horizontal="right"/>
    </xf>
    <xf numFmtId="0" fontId="3" fillId="6" borderId="13" xfId="0" applyFont="1" applyFill="1" applyBorder="1" applyAlignment="1">
      <alignment horizontal="right"/>
    </xf>
    <xf numFmtId="2" fontId="2" fillId="0" borderId="95" xfId="0" applyNumberFormat="1" applyFont="1" applyBorder="1" applyAlignment="1">
      <alignment horizontal="center" vertical="center"/>
    </xf>
    <xf numFmtId="0" fontId="3" fillId="6" borderId="97" xfId="0" applyFont="1" applyFill="1" applyBorder="1" applyAlignment="1">
      <alignment horizontal="right"/>
    </xf>
    <xf numFmtId="0" fontId="3" fillId="6" borderId="15" xfId="0" applyFont="1" applyFill="1" applyBorder="1" applyAlignment="1">
      <alignment horizontal="right"/>
    </xf>
    <xf numFmtId="2" fontId="2" fillId="0" borderId="98" xfId="0" applyNumberFormat="1" applyFont="1" applyBorder="1" applyAlignment="1">
      <alignment horizontal="center" vertical="center"/>
    </xf>
    <xf numFmtId="0" fontId="15" fillId="0" borderId="83" xfId="0" applyFont="1" applyBorder="1" applyAlignment="1">
      <alignment horizontal="center" vertical="center"/>
    </xf>
    <xf numFmtId="0" fontId="15" fillId="0" borderId="84" xfId="0" applyFont="1" applyBorder="1" applyAlignment="1">
      <alignment horizontal="center" vertical="center"/>
    </xf>
    <xf numFmtId="0" fontId="15" fillId="0" borderId="85" xfId="0" applyFont="1" applyBorder="1" applyAlignment="1">
      <alignment horizontal="center" vertical="center"/>
    </xf>
    <xf numFmtId="0" fontId="24" fillId="6" borderId="16" xfId="0" applyFont="1" applyFill="1" applyBorder="1" applyAlignment="1">
      <alignment horizontal="center" vertical="center" wrapText="1"/>
    </xf>
    <xf numFmtId="0" fontId="24" fillId="6" borderId="19" xfId="0" applyFont="1" applyFill="1" applyBorder="1" applyAlignment="1">
      <alignment horizontal="center" vertical="center" wrapText="1"/>
    </xf>
    <xf numFmtId="14" fontId="0" fillId="0" borderId="1" xfId="0" applyNumberForma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20" xfId="0" applyBorder="1" applyAlignment="1" applyProtection="1">
      <alignment horizontal="left" vertical="center"/>
      <protection locked="0"/>
    </xf>
    <xf numFmtId="0" fontId="3" fillId="6" borderId="19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right"/>
    </xf>
    <xf numFmtId="0" fontId="3" fillId="6" borderId="21" xfId="0" applyFont="1" applyFill="1" applyBorder="1" applyAlignment="1">
      <alignment horizontal="right"/>
    </xf>
    <xf numFmtId="0" fontId="3" fillId="6" borderId="22" xfId="0" applyFont="1" applyFill="1" applyBorder="1" applyAlignment="1">
      <alignment horizontal="right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4" fillId="6" borderId="18" xfId="0" applyFont="1" applyFill="1" applyBorder="1" applyAlignment="1">
      <alignment horizontal="center" vertical="center" wrapText="1"/>
    </xf>
    <xf numFmtId="0" fontId="24" fillId="6" borderId="20" xfId="0" applyFont="1" applyFill="1" applyBorder="1" applyAlignment="1">
      <alignment horizontal="center" vertical="center" wrapText="1"/>
    </xf>
    <xf numFmtId="0" fontId="24" fillId="6" borderId="50" xfId="0" applyFont="1" applyFill="1" applyBorder="1" applyAlignment="1">
      <alignment horizontal="center" vertical="center" wrapText="1"/>
    </xf>
    <xf numFmtId="0" fontId="24" fillId="6" borderId="12" xfId="0" applyFont="1" applyFill="1" applyBorder="1" applyAlignment="1">
      <alignment horizontal="center" vertical="center" wrapText="1"/>
    </xf>
    <xf numFmtId="0" fontId="24" fillId="6" borderId="127" xfId="0" applyFont="1" applyFill="1" applyBorder="1" applyAlignment="1">
      <alignment horizontal="center" vertical="center" wrapText="1"/>
    </xf>
    <xf numFmtId="0" fontId="24" fillId="6" borderId="128" xfId="0" applyFont="1" applyFill="1" applyBorder="1" applyAlignment="1">
      <alignment horizontal="center" vertical="center" wrapText="1"/>
    </xf>
    <xf numFmtId="0" fontId="24" fillId="6" borderId="97" xfId="0" applyFont="1" applyFill="1" applyBorder="1" applyAlignment="1">
      <alignment horizontal="right" vertical="center"/>
    </xf>
    <xf numFmtId="0" fontId="24" fillId="6" borderId="15" xfId="0" applyFont="1" applyFill="1" applyBorder="1" applyAlignment="1">
      <alignment horizontal="right" vertical="center"/>
    </xf>
    <xf numFmtId="0" fontId="0" fillId="0" borderId="15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17" fillId="2" borderId="45" xfId="0" applyFont="1" applyFill="1" applyBorder="1" applyAlignment="1">
      <alignment horizontal="right" vertical="center" wrapText="1"/>
    </xf>
    <xf numFmtId="0" fontId="17" fillId="2" borderId="46" xfId="0" applyFont="1" applyFill="1" applyBorder="1" applyAlignment="1">
      <alignment horizontal="right" vertical="center" wrapText="1"/>
    </xf>
    <xf numFmtId="0" fontId="17" fillId="2" borderId="99" xfId="0" applyFont="1" applyFill="1" applyBorder="1" applyAlignment="1">
      <alignment horizontal="right" vertical="center" wrapText="1"/>
    </xf>
    <xf numFmtId="0" fontId="17" fillId="2" borderId="29" xfId="0" applyFont="1" applyFill="1" applyBorder="1" applyAlignment="1">
      <alignment horizontal="right" vertical="center" wrapText="1"/>
    </xf>
    <xf numFmtId="0" fontId="17" fillId="2" borderId="0" xfId="0" applyFont="1" applyFill="1" applyAlignment="1">
      <alignment horizontal="right" vertical="center" wrapText="1"/>
    </xf>
    <xf numFmtId="0" fontId="17" fillId="2" borderId="6" xfId="0" applyFont="1" applyFill="1" applyBorder="1" applyAlignment="1">
      <alignment horizontal="right" vertical="center" wrapText="1"/>
    </xf>
    <xf numFmtId="0" fontId="17" fillId="2" borderId="31" xfId="0" applyFont="1" applyFill="1" applyBorder="1" applyAlignment="1">
      <alignment horizontal="right" vertical="center" wrapText="1"/>
    </xf>
    <xf numFmtId="0" fontId="17" fillId="2" borderId="32" xfId="0" applyFont="1" applyFill="1" applyBorder="1" applyAlignment="1">
      <alignment horizontal="right" vertical="center" wrapText="1"/>
    </xf>
    <xf numFmtId="0" fontId="17" fillId="2" borderId="100" xfId="0" applyFont="1" applyFill="1" applyBorder="1" applyAlignment="1">
      <alignment horizontal="righ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98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15" fillId="0" borderId="98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2" fontId="2" fillId="0" borderId="22" xfId="0" applyNumberFormat="1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92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93" xfId="0" applyFont="1" applyBorder="1" applyAlignment="1">
      <alignment horizontal="left" vertical="center"/>
    </xf>
    <xf numFmtId="0" fontId="15" fillId="0" borderId="83" xfId="0" applyFont="1" applyBorder="1" applyAlignment="1">
      <alignment horizontal="left" vertical="center"/>
    </xf>
    <xf numFmtId="0" fontId="15" fillId="0" borderId="84" xfId="0" applyFont="1" applyBorder="1" applyAlignment="1">
      <alignment horizontal="left" vertical="center"/>
    </xf>
    <xf numFmtId="0" fontId="15" fillId="0" borderId="85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98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3" fillId="6" borderId="4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left" vertical="center" wrapText="1"/>
    </xf>
    <xf numFmtId="0" fontId="17" fillId="0" borderId="46" xfId="0" applyFont="1" applyBorder="1" applyAlignment="1">
      <alignment horizontal="left" vertical="center" wrapText="1"/>
    </xf>
    <xf numFmtId="0" fontId="17" fillId="0" borderId="47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30" xfId="0" applyFont="1" applyBorder="1" applyAlignment="1">
      <alignment horizontal="left" vertical="center" wrapText="1"/>
    </xf>
    <xf numFmtId="0" fontId="17" fillId="0" borderId="101" xfId="0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33" xfId="0" applyFont="1" applyBorder="1" applyAlignment="1">
      <alignment horizontal="left" vertical="center" wrapText="1"/>
    </xf>
    <xf numFmtId="14" fontId="0" fillId="0" borderId="17" xfId="0" applyNumberFormat="1" applyBorder="1" applyAlignment="1" applyProtection="1">
      <alignment horizontal="left" vertical="center"/>
      <protection locked="0"/>
    </xf>
    <xf numFmtId="0" fontId="0" fillId="0" borderId="17" xfId="0" applyBorder="1" applyAlignment="1" applyProtection="1">
      <alignment horizontal="left" vertical="center"/>
      <protection locked="0"/>
    </xf>
    <xf numFmtId="0" fontId="0" fillId="0" borderId="18" xfId="0" applyBorder="1" applyAlignment="1" applyProtection="1">
      <alignment horizontal="left" vertical="center"/>
      <protection locked="0"/>
    </xf>
    <xf numFmtId="0" fontId="24" fillId="6" borderId="19" xfId="0" applyFont="1" applyFill="1" applyBorder="1" applyAlignment="1">
      <alignment horizontal="right"/>
    </xf>
    <xf numFmtId="0" fontId="24" fillId="6" borderId="1" xfId="0" applyFont="1" applyFill="1" applyBorder="1" applyAlignment="1">
      <alignment horizontal="right"/>
    </xf>
    <xf numFmtId="0" fontId="17" fillId="2" borderId="19" xfId="0" applyFont="1" applyFill="1" applyBorder="1" applyAlignment="1">
      <alignment horizontal="right" vertical="center" wrapText="1"/>
    </xf>
    <xf numFmtId="0" fontId="17" fillId="2" borderId="1" xfId="0" applyFont="1" applyFill="1" applyBorder="1" applyAlignment="1">
      <alignment horizontal="right" vertical="center" wrapText="1"/>
    </xf>
    <xf numFmtId="0" fontId="10" fillId="2" borderId="37" xfId="0" applyFont="1" applyFill="1" applyBorder="1" applyAlignment="1">
      <alignment horizontal="left" vertical="center"/>
    </xf>
    <xf numFmtId="0" fontId="10" fillId="2" borderId="38" xfId="0" applyFont="1" applyFill="1" applyBorder="1" applyAlignment="1">
      <alignment horizontal="left" vertical="center"/>
    </xf>
    <xf numFmtId="0" fontId="10" fillId="2" borderId="39" xfId="0" applyFont="1" applyFill="1" applyBorder="1" applyAlignment="1">
      <alignment horizontal="left" vertical="center"/>
    </xf>
    <xf numFmtId="0" fontId="24" fillId="6" borderId="15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right" vertical="center" wrapText="1"/>
    </xf>
    <xf numFmtId="14" fontId="0" fillId="0" borderId="20" xfId="0" applyNumberFormat="1" applyBorder="1" applyAlignment="1" applyProtection="1">
      <alignment horizontal="left" vertical="center"/>
      <protection locked="0"/>
    </xf>
    <xf numFmtId="0" fontId="3" fillId="6" borderId="97" xfId="0" applyFont="1" applyFill="1" applyBorder="1" applyAlignment="1">
      <alignment horizontal="right" vertical="center"/>
    </xf>
    <xf numFmtId="0" fontId="3" fillId="6" borderId="15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0" fontId="3" fillId="6" borderId="17" xfId="0" applyFont="1" applyFill="1" applyBorder="1" applyAlignment="1">
      <alignment horizontal="right" vertical="center"/>
    </xf>
    <xf numFmtId="14" fontId="0" fillId="0" borderId="18" xfId="0" applyNumberFormat="1" applyBorder="1" applyAlignment="1" applyProtection="1">
      <alignment horizontal="left" vertical="center"/>
      <protection locked="0"/>
    </xf>
    <xf numFmtId="0" fontId="24" fillId="5" borderId="16" xfId="0" applyFont="1" applyFill="1" applyBorder="1" applyAlignment="1">
      <alignment horizontal="right" vertical="center"/>
    </xf>
    <xf numFmtId="0" fontId="24" fillId="5" borderId="17" xfId="0" applyFont="1" applyFill="1" applyBorder="1" applyAlignment="1">
      <alignment horizontal="righ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4" fillId="6" borderId="16" xfId="0" applyFont="1" applyFill="1" applyBorder="1" applyAlignment="1">
      <alignment horizontal="right" vertical="center" wrapText="1"/>
    </xf>
    <xf numFmtId="0" fontId="24" fillId="6" borderId="17" xfId="0" applyFont="1" applyFill="1" applyBorder="1" applyAlignment="1">
      <alignment horizontal="right" vertical="center" wrapText="1"/>
    </xf>
    <xf numFmtId="0" fontId="24" fillId="6" borderId="21" xfId="0" applyFont="1" applyFill="1" applyBorder="1" applyAlignment="1">
      <alignment horizontal="right" vertical="center" wrapText="1"/>
    </xf>
    <xf numFmtId="0" fontId="24" fillId="6" borderId="22" xfId="0" applyFont="1" applyFill="1" applyBorder="1" applyAlignment="1">
      <alignment horizontal="right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right" vertical="center"/>
    </xf>
    <xf numFmtId="0" fontId="3" fillId="5" borderId="12" xfId="0" applyFont="1" applyFill="1" applyBorder="1" applyAlignment="1">
      <alignment horizontal="right" vertical="center"/>
    </xf>
    <xf numFmtId="1" fontId="0" fillId="0" borderId="10" xfId="0" applyNumberFormat="1" applyBorder="1" applyAlignment="1" applyProtection="1">
      <alignment horizontal="left"/>
      <protection locked="0"/>
    </xf>
    <xf numFmtId="1" fontId="0" fillId="0" borderId="12" xfId="0" applyNumberFormat="1" applyBorder="1" applyAlignment="1" applyProtection="1">
      <alignment horizontal="left"/>
      <protection locked="0"/>
    </xf>
    <xf numFmtId="0" fontId="3" fillId="5" borderId="1" xfId="0" applyFont="1" applyFill="1" applyBorder="1" applyAlignment="1">
      <alignment horizontal="right" vertical="center"/>
    </xf>
    <xf numFmtId="0" fontId="24" fillId="5" borderId="21" xfId="0" applyFont="1" applyFill="1" applyBorder="1" applyAlignment="1">
      <alignment horizontal="right" vertical="center"/>
    </xf>
    <xf numFmtId="0" fontId="24" fillId="5" borderId="22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24" fillId="5" borderId="10" xfId="0" applyFont="1" applyFill="1" applyBorder="1" applyAlignment="1">
      <alignment horizontal="right" vertical="center"/>
    </xf>
    <xf numFmtId="0" fontId="24" fillId="5" borderId="12" xfId="0" applyFont="1" applyFill="1" applyBorder="1" applyAlignment="1">
      <alignment horizontal="right" vertical="center"/>
    </xf>
    <xf numFmtId="0" fontId="15" fillId="4" borderId="16" xfId="0" applyFont="1" applyFill="1" applyBorder="1" applyAlignment="1">
      <alignment horizontal="left" vertical="center"/>
    </xf>
    <xf numFmtId="0" fontId="15" fillId="4" borderId="17" xfId="0" applyFont="1" applyFill="1" applyBorder="1" applyAlignment="1">
      <alignment horizontal="left" vertical="center"/>
    </xf>
    <xf numFmtId="0" fontId="15" fillId="4" borderId="18" xfId="0" applyFont="1" applyFill="1" applyBorder="1" applyAlignment="1">
      <alignment horizontal="left" vertical="center"/>
    </xf>
    <xf numFmtId="0" fontId="15" fillId="0" borderId="4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3" fillId="6" borderId="21" xfId="0" applyFont="1" applyFill="1" applyBorder="1" applyAlignment="1">
      <alignment horizontal="left" vertical="center" wrapText="1"/>
    </xf>
    <xf numFmtId="0" fontId="3" fillId="6" borderId="22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3" fillId="6" borderId="19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0" fillId="0" borderId="22" xfId="0" applyBorder="1" applyAlignment="1" applyProtection="1">
      <alignment horizontal="left" vertical="center"/>
      <protection locked="0"/>
    </xf>
    <xf numFmtId="0" fontId="0" fillId="0" borderId="86" xfId="0" applyBorder="1" applyAlignment="1" applyProtection="1">
      <alignment horizontal="left" vertical="center"/>
      <protection locked="0"/>
    </xf>
    <xf numFmtId="0" fontId="0" fillId="0" borderId="87" xfId="0" applyBorder="1" applyAlignment="1" applyProtection="1">
      <alignment horizontal="left" vertical="center"/>
      <protection locked="0"/>
    </xf>
    <xf numFmtId="0" fontId="24" fillId="5" borderId="40" xfId="0" applyFont="1" applyFill="1" applyBorder="1" applyAlignment="1">
      <alignment horizontal="left" vertical="center" wrapText="1"/>
    </xf>
    <xf numFmtId="0" fontId="24" fillId="5" borderId="11" xfId="0" applyFont="1" applyFill="1" applyBorder="1" applyAlignment="1">
      <alignment horizontal="left" vertical="center" wrapText="1"/>
    </xf>
    <xf numFmtId="0" fontId="24" fillId="5" borderId="12" xfId="0" applyFont="1" applyFill="1" applyBorder="1" applyAlignment="1">
      <alignment horizontal="left" vertical="center" wrapText="1"/>
    </xf>
    <xf numFmtId="0" fontId="24" fillId="5" borderId="42" xfId="0" applyFont="1" applyFill="1" applyBorder="1" applyAlignment="1">
      <alignment horizontal="left" vertical="center" wrapText="1"/>
    </xf>
    <xf numFmtId="0" fontId="24" fillId="5" borderId="43" xfId="0" applyFont="1" applyFill="1" applyBorder="1" applyAlignment="1">
      <alignment horizontal="left" vertical="center" wrapText="1"/>
    </xf>
    <xf numFmtId="0" fontId="24" fillId="5" borderId="48" xfId="0" applyFont="1" applyFill="1" applyBorder="1" applyAlignment="1">
      <alignment horizontal="left" vertical="center" wrapText="1"/>
    </xf>
    <xf numFmtId="0" fontId="17" fillId="0" borderId="23" xfId="0" applyFont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24" fillId="6" borderId="19" xfId="0" applyFont="1" applyFill="1" applyBorder="1" applyAlignment="1">
      <alignment horizontal="right" vertical="center"/>
    </xf>
    <xf numFmtId="0" fontId="24" fillId="6" borderId="1" xfId="0" applyFont="1" applyFill="1" applyBorder="1" applyAlignment="1">
      <alignment horizontal="right" vertical="center"/>
    </xf>
    <xf numFmtId="0" fontId="3" fillId="6" borderId="20" xfId="0" applyFont="1" applyFill="1" applyBorder="1" applyAlignment="1">
      <alignment horizontal="center" vertical="center" wrapText="1"/>
    </xf>
    <xf numFmtId="0" fontId="15" fillId="4" borderId="45" xfId="0" applyFont="1" applyFill="1" applyBorder="1" applyAlignment="1">
      <alignment horizontal="left" vertical="center"/>
    </xf>
    <xf numFmtId="0" fontId="15" fillId="4" borderId="46" xfId="0" applyFont="1" applyFill="1" applyBorder="1" applyAlignment="1">
      <alignment horizontal="left" vertical="center"/>
    </xf>
    <xf numFmtId="0" fontId="15" fillId="4" borderId="47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center" vertical="center"/>
    </xf>
    <xf numFmtId="14" fontId="0" fillId="0" borderId="1" xfId="0" applyNumberFormat="1" applyBorder="1" applyAlignment="1" applyProtection="1">
      <alignment horizontal="center" vertical="center"/>
      <protection locked="0"/>
    </xf>
    <xf numFmtId="14" fontId="0" fillId="0" borderId="51" xfId="0" applyNumberFormat="1" applyBorder="1" applyAlignment="1" applyProtection="1">
      <alignment horizontal="center" vertical="center"/>
      <protection locked="0"/>
    </xf>
    <xf numFmtId="0" fontId="17" fillId="2" borderId="21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3" fillId="6" borderId="84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85" xfId="0" applyFont="1" applyFill="1" applyBorder="1" applyAlignment="1">
      <alignment horizontal="center" vertical="center" wrapText="1"/>
    </xf>
    <xf numFmtId="0" fontId="3" fillId="6" borderId="93" xfId="0" applyFont="1" applyFill="1" applyBorder="1" applyAlignment="1">
      <alignment horizontal="center" vertical="center" wrapText="1"/>
    </xf>
    <xf numFmtId="0" fontId="3" fillId="6" borderId="83" xfId="0" applyFont="1" applyFill="1" applyBorder="1" applyAlignment="1">
      <alignment horizontal="center" vertical="center" wrapText="1"/>
    </xf>
    <xf numFmtId="0" fontId="3" fillId="6" borderId="92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98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97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24" fillId="5" borderId="24" xfId="0" applyFont="1" applyFill="1" applyBorder="1" applyAlignment="1">
      <alignment horizontal="left" vertical="center" wrapText="1"/>
    </xf>
    <xf numFmtId="0" fontId="24" fillId="5" borderId="25" xfId="0" applyFont="1" applyFill="1" applyBorder="1" applyAlignment="1">
      <alignment horizontal="left" vertical="center" wrapText="1"/>
    </xf>
    <xf numFmtId="0" fontId="24" fillId="5" borderId="50" xfId="0" applyFont="1" applyFill="1" applyBorder="1" applyAlignment="1">
      <alignment horizontal="left" vertical="center" wrapText="1"/>
    </xf>
    <xf numFmtId="1" fontId="0" fillId="0" borderId="1" xfId="0" applyNumberFormat="1" applyBorder="1" applyAlignment="1">
      <alignment horizontal="center"/>
    </xf>
    <xf numFmtId="0" fontId="3" fillId="6" borderId="23" xfId="0" applyFont="1" applyFill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82" xfId="0" applyFont="1" applyBorder="1" applyAlignment="1" applyProtection="1">
      <alignment horizontal="center" vertical="center" wrapText="1"/>
      <protection locked="0"/>
    </xf>
    <xf numFmtId="0" fontId="11" fillId="0" borderId="38" xfId="0" applyFont="1" applyBorder="1" applyAlignment="1" applyProtection="1">
      <alignment horizontal="center" vertical="center" wrapText="1"/>
      <protection locked="0"/>
    </xf>
    <xf numFmtId="0" fontId="11" fillId="0" borderId="39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9" fillId="0" borderId="19" xfId="0" applyFont="1" applyBorder="1" applyAlignment="1" applyProtection="1">
      <alignment horizontal="left" vertical="center" wrapText="1"/>
      <protection locked="0"/>
    </xf>
    <xf numFmtId="0" fontId="9" fillId="0" borderId="21" xfId="0" applyFont="1" applyBorder="1" applyAlignment="1" applyProtection="1">
      <alignment horizontal="left" vertical="center" wrapText="1"/>
      <protection locked="0"/>
    </xf>
    <xf numFmtId="0" fontId="9" fillId="0" borderId="22" xfId="0" applyFont="1" applyBorder="1" applyAlignment="1" applyProtection="1">
      <alignment horizontal="left" vertical="center" wrapText="1"/>
      <protection locked="0"/>
    </xf>
    <xf numFmtId="0" fontId="9" fillId="0" borderId="23" xfId="0" applyFont="1" applyBorder="1" applyAlignment="1" applyProtection="1">
      <alignment horizontal="left" vertical="center" wrapText="1"/>
      <protection locked="0"/>
    </xf>
    <xf numFmtId="0" fontId="3" fillId="6" borderId="21" xfId="0" applyFont="1" applyFill="1" applyBorder="1" applyAlignment="1">
      <alignment horizontal="right" vertical="center"/>
    </xf>
    <xf numFmtId="0" fontId="3" fillId="6" borderId="22" xfId="0" applyFont="1" applyFill="1" applyBorder="1" applyAlignment="1">
      <alignment horizontal="right" vertical="center"/>
    </xf>
    <xf numFmtId="0" fontId="27" fillId="7" borderId="37" xfId="0" applyFont="1" applyFill="1" applyBorder="1" applyAlignment="1">
      <alignment horizontal="center" vertical="center"/>
    </xf>
    <xf numFmtId="0" fontId="27" fillId="7" borderId="38" xfId="0" applyFont="1" applyFill="1" applyBorder="1" applyAlignment="1">
      <alignment horizontal="center" vertical="center"/>
    </xf>
    <xf numFmtId="0" fontId="27" fillId="7" borderId="3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right" vertical="center" wrapText="1"/>
    </xf>
    <xf numFmtId="0" fontId="3" fillId="6" borderId="17" xfId="0" applyFont="1" applyFill="1" applyBorder="1" applyAlignment="1">
      <alignment horizontal="right" vertical="center" wrapText="1"/>
    </xf>
    <xf numFmtId="0" fontId="9" fillId="0" borderId="16" xfId="0" applyFont="1" applyBorder="1" applyAlignment="1" applyProtection="1">
      <alignment horizontal="left" vertical="center" wrapText="1"/>
      <protection locked="0"/>
    </xf>
    <xf numFmtId="0" fontId="13" fillId="4" borderId="27" xfId="0" applyFont="1" applyFill="1" applyBorder="1" applyAlignment="1">
      <alignment horizontal="right" vertical="center"/>
    </xf>
    <xf numFmtId="0" fontId="13" fillId="4" borderId="3" xfId="0" applyFont="1" applyFill="1" applyBorder="1" applyAlignment="1">
      <alignment horizontal="right" vertical="center"/>
    </xf>
    <xf numFmtId="0" fontId="13" fillId="4" borderId="102" xfId="0" applyFont="1" applyFill="1" applyBorder="1" applyAlignment="1">
      <alignment horizontal="right" vertical="center"/>
    </xf>
    <xf numFmtId="0" fontId="13" fillId="4" borderId="8" xfId="0" applyFont="1" applyFill="1" applyBorder="1" applyAlignment="1">
      <alignment horizontal="right" vertical="center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3" fillId="6" borderId="24" xfId="0" applyFont="1" applyFill="1" applyBorder="1" applyAlignment="1">
      <alignment horizontal="center" vertical="center" wrapText="1"/>
    </xf>
    <xf numFmtId="0" fontId="3" fillId="6" borderId="25" xfId="0" applyFont="1" applyFill="1" applyBorder="1" applyAlignment="1">
      <alignment horizontal="center" vertical="center" wrapText="1"/>
    </xf>
    <xf numFmtId="0" fontId="3" fillId="6" borderId="50" xfId="0" applyFont="1" applyFill="1" applyBorder="1" applyAlignment="1">
      <alignment horizontal="center" vertical="center" wrapText="1"/>
    </xf>
    <xf numFmtId="0" fontId="3" fillId="6" borderId="42" xfId="0" applyFont="1" applyFill="1" applyBorder="1" applyAlignment="1">
      <alignment horizontal="center" vertical="center" wrapText="1"/>
    </xf>
    <xf numFmtId="0" fontId="3" fillId="6" borderId="43" xfId="0" applyFont="1" applyFill="1" applyBorder="1" applyAlignment="1">
      <alignment horizontal="center" vertical="center" wrapText="1"/>
    </xf>
    <xf numFmtId="0" fontId="3" fillId="6" borderId="48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16" fillId="7" borderId="52" xfId="0" applyFont="1" applyFill="1" applyBorder="1" applyAlignment="1">
      <alignment horizontal="left" vertical="center"/>
    </xf>
    <xf numFmtId="0" fontId="16" fillId="7" borderId="53" xfId="0" applyFont="1" applyFill="1" applyBorder="1" applyAlignment="1">
      <alignment horizontal="left" vertical="center"/>
    </xf>
    <xf numFmtId="0" fontId="16" fillId="7" borderId="103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4C81DCEE-74D2-4D0F-A40D-91A0E6092F9E}"/>
  </cellStyles>
  <dxfs count="2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499984740745262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006100"/>
        <name val="Arial"/>
        <charset val="1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B2454D7F-D555-433C-8706-9BD17045249B}"/>
  </tableStyles>
  <colors>
    <mruColors>
      <color rgb="FFF3FFF3"/>
      <color rgb="FFCCFF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277344133081466E-2"/>
          <c:y val="2.6630378139534706E-2"/>
          <c:w val="0.83194880749283817"/>
          <c:h val="0.834190343734407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'Homogénéité-stabilité-quantita '!$D$20</c:f>
              <c:strCache>
                <c:ptCount val="1"/>
                <c:pt idx="0">
                  <c:v>Résultat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'Homogénéité-stabilité-quantita '!$C$23:$C$42</c:f>
              <c:strCache>
                <c:ptCount val="10"/>
                <c:pt idx="0">
                  <c:v>HO 001</c:v>
                </c:pt>
                <c:pt idx="1">
                  <c:v>HO 002</c:v>
                </c:pt>
                <c:pt idx="2">
                  <c:v>HO 003</c:v>
                </c:pt>
                <c:pt idx="3">
                  <c:v>HO 004</c:v>
                </c:pt>
                <c:pt idx="4">
                  <c:v>HO 005</c:v>
                </c:pt>
                <c:pt idx="5">
                  <c:v>HO 006</c:v>
                </c:pt>
                <c:pt idx="6">
                  <c:v>HO 007</c:v>
                </c:pt>
                <c:pt idx="7">
                  <c:v>HO 008</c:v>
                </c:pt>
                <c:pt idx="8">
                  <c:v>HO 009</c:v>
                </c:pt>
                <c:pt idx="9">
                  <c:v>HO 010</c:v>
                </c:pt>
              </c:strCache>
            </c:strRef>
          </c:xVal>
          <c:yVal>
            <c:numRef>
              <c:f>'Homogénéité-stabilité-quantita '!$D$23:$D$42</c:f>
              <c:numCache>
                <c:formatCode>0.00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37-4788-B98B-0CBE46D1C3EF}"/>
            </c:ext>
          </c:extLst>
        </c:ser>
        <c:ser>
          <c:idx val="2"/>
          <c:order val="1"/>
          <c:tx>
            <c:strRef>
              <c:f>'Homogénéité-stabilité-quantita '!$E$20:$E$22</c:f>
              <c:strCache>
                <c:ptCount val="3"/>
                <c:pt idx="0">
                  <c:v>Résultat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'Homogénéité-stabilité-quantita '!$C$23:$C$42</c:f>
              <c:strCache>
                <c:ptCount val="10"/>
                <c:pt idx="0">
                  <c:v>HO 001</c:v>
                </c:pt>
                <c:pt idx="1">
                  <c:v>HO 002</c:v>
                </c:pt>
                <c:pt idx="2">
                  <c:v>HO 003</c:v>
                </c:pt>
                <c:pt idx="3">
                  <c:v>HO 004</c:v>
                </c:pt>
                <c:pt idx="4">
                  <c:v>HO 005</c:v>
                </c:pt>
                <c:pt idx="5">
                  <c:v>HO 006</c:v>
                </c:pt>
                <c:pt idx="6">
                  <c:v>HO 007</c:v>
                </c:pt>
                <c:pt idx="7">
                  <c:v>HO 008</c:v>
                </c:pt>
                <c:pt idx="8">
                  <c:v>HO 009</c:v>
                </c:pt>
                <c:pt idx="9">
                  <c:v>HO 010</c:v>
                </c:pt>
              </c:strCache>
            </c:strRef>
          </c:xVal>
          <c:yVal>
            <c:numRef>
              <c:f>'Homogénéité-stabilité-quantita '!$E$23:$E$42</c:f>
              <c:numCache>
                <c:formatCode>0.00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60-41BD-8F0D-46D2CE0004DC}"/>
            </c:ext>
          </c:extLst>
        </c:ser>
        <c:ser>
          <c:idx val="3"/>
          <c:order val="2"/>
          <c:tx>
            <c:strRef>
              <c:f>'Homogénéité-stabilité-quantita '!$F$20:$F$22</c:f>
              <c:strCache>
                <c:ptCount val="3"/>
                <c:pt idx="0">
                  <c:v>Résultat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'Homogénéité-stabilité-quantita '!$C$23:$C$42</c:f>
              <c:strCache>
                <c:ptCount val="10"/>
                <c:pt idx="0">
                  <c:v>HO 001</c:v>
                </c:pt>
                <c:pt idx="1">
                  <c:v>HO 002</c:v>
                </c:pt>
                <c:pt idx="2">
                  <c:v>HO 003</c:v>
                </c:pt>
                <c:pt idx="3">
                  <c:v>HO 004</c:v>
                </c:pt>
                <c:pt idx="4">
                  <c:v>HO 005</c:v>
                </c:pt>
                <c:pt idx="5">
                  <c:v>HO 006</c:v>
                </c:pt>
                <c:pt idx="6">
                  <c:v>HO 007</c:v>
                </c:pt>
                <c:pt idx="7">
                  <c:v>HO 008</c:v>
                </c:pt>
                <c:pt idx="8">
                  <c:v>HO 009</c:v>
                </c:pt>
                <c:pt idx="9">
                  <c:v>HO 010</c:v>
                </c:pt>
              </c:strCache>
            </c:strRef>
          </c:xVal>
          <c:yVal>
            <c:numRef>
              <c:f>'Homogénéité-stabilité-quantita '!$F$23:$F$42</c:f>
              <c:numCache>
                <c:formatCode>0.00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60-41BD-8F0D-46D2CE0004DC}"/>
            </c:ext>
          </c:extLst>
        </c:ser>
        <c:ser>
          <c:idx val="4"/>
          <c:order val="3"/>
          <c:tx>
            <c:strRef>
              <c:f>'Homogénéité-stabilité-quantita '!$G$20:$G$22</c:f>
              <c:strCache>
                <c:ptCount val="3"/>
                <c:pt idx="0">
                  <c:v>Résultat 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'Homogénéité-stabilité-quantita '!$C$23:$C$42</c:f>
              <c:strCache>
                <c:ptCount val="10"/>
                <c:pt idx="0">
                  <c:v>HO 001</c:v>
                </c:pt>
                <c:pt idx="1">
                  <c:v>HO 002</c:v>
                </c:pt>
                <c:pt idx="2">
                  <c:v>HO 003</c:v>
                </c:pt>
                <c:pt idx="3">
                  <c:v>HO 004</c:v>
                </c:pt>
                <c:pt idx="4">
                  <c:v>HO 005</c:v>
                </c:pt>
                <c:pt idx="5">
                  <c:v>HO 006</c:v>
                </c:pt>
                <c:pt idx="6">
                  <c:v>HO 007</c:v>
                </c:pt>
                <c:pt idx="7">
                  <c:v>HO 008</c:v>
                </c:pt>
                <c:pt idx="8">
                  <c:v>HO 009</c:v>
                </c:pt>
                <c:pt idx="9">
                  <c:v>HO 010</c:v>
                </c:pt>
              </c:strCache>
            </c:strRef>
          </c:xVal>
          <c:yVal>
            <c:numRef>
              <c:f>'Homogénéité-stabilité-quantita '!$G$23:$G$42</c:f>
              <c:numCache>
                <c:formatCode>0.00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60-41BD-8F0D-46D2CE0004DC}"/>
            </c:ext>
          </c:extLst>
        </c:ser>
        <c:ser>
          <c:idx val="5"/>
          <c:order val="4"/>
          <c:tx>
            <c:strRef>
              <c:f>'Homogénéité-stabilité-quantita '!$H$20:$H$22</c:f>
              <c:strCache>
                <c:ptCount val="3"/>
                <c:pt idx="0">
                  <c:v>Résultat 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'Homogénéité-stabilité-quantita '!$C$23:$C$42</c:f>
              <c:strCache>
                <c:ptCount val="10"/>
                <c:pt idx="0">
                  <c:v>HO 001</c:v>
                </c:pt>
                <c:pt idx="1">
                  <c:v>HO 002</c:v>
                </c:pt>
                <c:pt idx="2">
                  <c:v>HO 003</c:v>
                </c:pt>
                <c:pt idx="3">
                  <c:v>HO 004</c:v>
                </c:pt>
                <c:pt idx="4">
                  <c:v>HO 005</c:v>
                </c:pt>
                <c:pt idx="5">
                  <c:v>HO 006</c:v>
                </c:pt>
                <c:pt idx="6">
                  <c:v>HO 007</c:v>
                </c:pt>
                <c:pt idx="7">
                  <c:v>HO 008</c:v>
                </c:pt>
                <c:pt idx="8">
                  <c:v>HO 009</c:v>
                </c:pt>
                <c:pt idx="9">
                  <c:v>HO 010</c:v>
                </c:pt>
              </c:strCache>
            </c:strRef>
          </c:xVal>
          <c:yVal>
            <c:numRef>
              <c:f>'Homogénéité-stabilité-quantita '!$H$23:$H$42</c:f>
              <c:numCache>
                <c:formatCode>0.00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60-41BD-8F0D-46D2CE0004DC}"/>
            </c:ext>
          </c:extLst>
        </c:ser>
        <c:ser>
          <c:idx val="6"/>
          <c:order val="5"/>
          <c:tx>
            <c:strRef>
              <c:f>'Homogénéité-stabilité-quantita '!$I$20:$I$22</c:f>
              <c:strCache>
                <c:ptCount val="3"/>
                <c:pt idx="0">
                  <c:v>Résultat 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'Homogénéité-stabilité-quantita '!$C$23:$C$42</c:f>
              <c:strCache>
                <c:ptCount val="10"/>
                <c:pt idx="0">
                  <c:v>HO 001</c:v>
                </c:pt>
                <c:pt idx="1">
                  <c:v>HO 002</c:v>
                </c:pt>
                <c:pt idx="2">
                  <c:v>HO 003</c:v>
                </c:pt>
                <c:pt idx="3">
                  <c:v>HO 004</c:v>
                </c:pt>
                <c:pt idx="4">
                  <c:v>HO 005</c:v>
                </c:pt>
                <c:pt idx="5">
                  <c:v>HO 006</c:v>
                </c:pt>
                <c:pt idx="6">
                  <c:v>HO 007</c:v>
                </c:pt>
                <c:pt idx="7">
                  <c:v>HO 008</c:v>
                </c:pt>
                <c:pt idx="8">
                  <c:v>HO 009</c:v>
                </c:pt>
                <c:pt idx="9">
                  <c:v>HO 010</c:v>
                </c:pt>
              </c:strCache>
            </c:strRef>
          </c:xVal>
          <c:yVal>
            <c:numRef>
              <c:f>'Homogénéité-stabilité-quantita '!$I$23:$I$42</c:f>
              <c:numCache>
                <c:formatCode>0.00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60-41BD-8F0D-46D2CE000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664824"/>
        <c:axId val="500666624"/>
      </c:scatterChart>
      <c:valAx>
        <c:axId val="500664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0666624"/>
        <c:crosses val="autoZero"/>
        <c:crossBetween val="midCat"/>
      </c:valAx>
      <c:valAx>
        <c:axId val="50066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0664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693176403921502"/>
          <c:y val="3.4160808393291602E-2"/>
          <c:w val="0.11307284013233819"/>
          <c:h val="0.881953159902868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935147745928166E-2"/>
          <c:y val="5.2649609499693037E-2"/>
          <c:w val="0.82380042579619994"/>
          <c:h val="0.836315869014404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'Homogénéité-stabilité-quantita '!$J$20:$J$22</c:f>
              <c:strCache>
                <c:ptCount val="3"/>
                <c:pt idx="0">
                  <c:v>Moyenne 
x̄t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'Homogénéité-stabilité-quantita '!$C$23:$C$42</c:f>
              <c:strCache>
                <c:ptCount val="10"/>
                <c:pt idx="0">
                  <c:v>HO 001</c:v>
                </c:pt>
                <c:pt idx="1">
                  <c:v>HO 002</c:v>
                </c:pt>
                <c:pt idx="2">
                  <c:v>HO 003</c:v>
                </c:pt>
                <c:pt idx="3">
                  <c:v>HO 004</c:v>
                </c:pt>
                <c:pt idx="4">
                  <c:v>HO 005</c:v>
                </c:pt>
                <c:pt idx="5">
                  <c:v>HO 006</c:v>
                </c:pt>
                <c:pt idx="6">
                  <c:v>HO 007</c:v>
                </c:pt>
                <c:pt idx="7">
                  <c:v>HO 008</c:v>
                </c:pt>
                <c:pt idx="8">
                  <c:v>HO 009</c:v>
                </c:pt>
                <c:pt idx="9">
                  <c:v>HO 010</c:v>
                </c:pt>
              </c:strCache>
            </c:strRef>
          </c:xVal>
          <c:yVal>
            <c:numRef>
              <c:f>'Homogénéité-stabilité-quantita '!$J$23:$J$42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94-43BD-AF37-949C582B0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664824"/>
        <c:axId val="500666624"/>
      </c:scatterChart>
      <c:valAx>
        <c:axId val="500664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0666624"/>
        <c:crosses val="autoZero"/>
        <c:crossBetween val="midCat"/>
      </c:valAx>
      <c:valAx>
        <c:axId val="50066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0664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429802703237614"/>
          <c:y val="8.7887160241366613E-2"/>
          <c:w val="0.10886672689249227"/>
          <c:h val="0.199260092488438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372703412073493E-2"/>
          <c:y val="0.12444437911931105"/>
          <c:w val="0.87762729658792649"/>
          <c:h val="0.7340136129412355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'Homogénéité-stabilité-quantita '!$C$160:$C$163</c:f>
              <c:strCache>
                <c:ptCount val="4"/>
                <c:pt idx="0">
                  <c:v>Moyenne avant essai </c:v>
                </c:pt>
                <c:pt idx="1">
                  <c:v>Moyenne essai stabilité 1</c:v>
                </c:pt>
                <c:pt idx="2">
                  <c:v>Moyenne essai stabilité 2</c:v>
                </c:pt>
                <c:pt idx="3">
                  <c:v>Moyenne après compagne</c:v>
                </c:pt>
              </c:strCache>
            </c:strRef>
          </c:xVal>
          <c:yVal>
            <c:numRef>
              <c:f>'Homogénéité-stabilité-quantita '!$E$160:$E$163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A2-4FAC-9CC7-2930D6916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027992"/>
        <c:axId val="565028352"/>
      </c:scatterChart>
      <c:valAx>
        <c:axId val="565027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5028352"/>
        <c:crosses val="autoZero"/>
        <c:crossBetween val="midCat"/>
      </c:valAx>
      <c:valAx>
        <c:axId val="56502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5027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130902</xdr:colOff>
      <xdr:row>1</xdr:row>
      <xdr:rowOff>51708</xdr:rowOff>
    </xdr:from>
    <xdr:to>
      <xdr:col>3</xdr:col>
      <xdr:colOff>142875</xdr:colOff>
      <xdr:row>3</xdr:row>
      <xdr:rowOff>175333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12778AB-F981-483E-A8E2-E9564FC62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902" y="251733"/>
          <a:ext cx="1535973" cy="504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816702</xdr:colOff>
      <xdr:row>1</xdr:row>
      <xdr:rowOff>32657</xdr:rowOff>
    </xdr:from>
    <xdr:to>
      <xdr:col>2</xdr:col>
      <xdr:colOff>657225</xdr:colOff>
      <xdr:row>3</xdr:row>
      <xdr:rowOff>123936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F2DB289-7903-4049-898C-7F17970DF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727" y="270782"/>
          <a:ext cx="1878873" cy="6056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153530</xdr:colOff>
      <xdr:row>19</xdr:row>
      <xdr:rowOff>55562</xdr:rowOff>
    </xdr:from>
    <xdr:to>
      <xdr:col>18</xdr:col>
      <xdr:colOff>809625</xdr:colOff>
      <xdr:row>30</xdr:row>
      <xdr:rowOff>48760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E12F8BE-1113-4C6D-A6EC-CBB45D399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54702</xdr:colOff>
      <xdr:row>1</xdr:row>
      <xdr:rowOff>108857</xdr:rowOff>
    </xdr:from>
    <xdr:to>
      <xdr:col>3</xdr:col>
      <xdr:colOff>145143</xdr:colOff>
      <xdr:row>3</xdr:row>
      <xdr:rowOff>204107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5AAB25F-D21E-4303-A5EE-AADFD2C46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077" y="346982"/>
          <a:ext cx="2455816" cy="609600"/>
        </a:xfrm>
        <a:prstGeom prst="rect">
          <a:avLst/>
        </a:prstGeom>
      </xdr:spPr>
    </xdr:pic>
    <xdr:clientData/>
  </xdr:twoCellAnchor>
  <xdr:twoCellAnchor>
    <xdr:from>
      <xdr:col>11</xdr:col>
      <xdr:colOff>99786</xdr:colOff>
      <xdr:row>30</xdr:row>
      <xdr:rowOff>111127</xdr:rowOff>
    </xdr:from>
    <xdr:to>
      <xdr:col>18</xdr:col>
      <xdr:colOff>825500</xdr:colOff>
      <xdr:row>42</xdr:row>
      <xdr:rowOff>18143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0D208F5-4BB2-4922-B293-AC2E6E201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404136</xdr:colOff>
      <xdr:row>121</xdr:row>
      <xdr:rowOff>222249</xdr:rowOff>
    </xdr:from>
    <xdr:to>
      <xdr:col>12</xdr:col>
      <xdr:colOff>889003</xdr:colOff>
      <xdr:row>123</xdr:row>
      <xdr:rowOff>15874</xdr:rowOff>
    </xdr:to>
    <xdr:sp macro="" textlink="">
      <xdr:nvSpPr>
        <xdr:cNvPr id="7" name="Flèche : gauche 6">
          <a:extLst>
            <a:ext uri="{FF2B5EF4-FFF2-40B4-BE49-F238E27FC236}">
              <a16:creationId xmlns:a16="http://schemas.microsoft.com/office/drawing/2014/main" id="{F44221B0-6CCF-4325-AFCC-FEC37EFFEC92}"/>
            </a:ext>
          </a:extLst>
        </xdr:cNvPr>
        <xdr:cNvSpPr/>
      </xdr:nvSpPr>
      <xdr:spPr>
        <a:xfrm rot="16200000">
          <a:off x="12560757" y="36484378"/>
          <a:ext cx="301625" cy="484867"/>
        </a:xfrm>
        <a:prstGeom prst="leftArrow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841377</xdr:colOff>
      <xdr:row>145</xdr:row>
      <xdr:rowOff>111125</xdr:rowOff>
    </xdr:from>
    <xdr:to>
      <xdr:col>2</xdr:col>
      <xdr:colOff>285754</xdr:colOff>
      <xdr:row>147</xdr:row>
      <xdr:rowOff>244929</xdr:rowOff>
    </xdr:to>
    <xdr:sp macro="" textlink="">
      <xdr:nvSpPr>
        <xdr:cNvPr id="8" name="Flèche : gauche 7">
          <a:extLst>
            <a:ext uri="{FF2B5EF4-FFF2-40B4-BE49-F238E27FC236}">
              <a16:creationId xmlns:a16="http://schemas.microsoft.com/office/drawing/2014/main" id="{3B72B29C-9160-4AFF-BC66-3B881987A1E6}"/>
            </a:ext>
          </a:extLst>
        </xdr:cNvPr>
        <xdr:cNvSpPr/>
      </xdr:nvSpPr>
      <xdr:spPr>
        <a:xfrm rot="16200000">
          <a:off x="1211038" y="47128339"/>
          <a:ext cx="435429" cy="508002"/>
        </a:xfrm>
        <a:prstGeom prst="leftArrow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523875</xdr:colOff>
      <xdr:row>147</xdr:row>
      <xdr:rowOff>15875</xdr:rowOff>
    </xdr:from>
    <xdr:to>
      <xdr:col>9</xdr:col>
      <xdr:colOff>1054553</xdr:colOff>
      <xdr:row>147</xdr:row>
      <xdr:rowOff>260803</xdr:rowOff>
    </xdr:to>
    <xdr:sp macro="" textlink="">
      <xdr:nvSpPr>
        <xdr:cNvPr id="9" name="Flèche : gauche 8">
          <a:extLst>
            <a:ext uri="{FF2B5EF4-FFF2-40B4-BE49-F238E27FC236}">
              <a16:creationId xmlns:a16="http://schemas.microsoft.com/office/drawing/2014/main" id="{A2CC8B6F-F0B2-4304-B37F-F3D39EFF4B1D}"/>
            </a:ext>
          </a:extLst>
        </xdr:cNvPr>
        <xdr:cNvSpPr/>
      </xdr:nvSpPr>
      <xdr:spPr>
        <a:xfrm rot="16200000">
          <a:off x="9509125" y="43386375"/>
          <a:ext cx="244928" cy="530678"/>
        </a:xfrm>
        <a:prstGeom prst="leftArrow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</xdr:col>
      <xdr:colOff>238125</xdr:colOff>
      <xdr:row>147</xdr:row>
      <xdr:rowOff>15875</xdr:rowOff>
    </xdr:from>
    <xdr:to>
      <xdr:col>19</xdr:col>
      <xdr:colOff>809625</xdr:colOff>
      <xdr:row>148</xdr:row>
      <xdr:rowOff>6804</xdr:rowOff>
    </xdr:to>
    <xdr:sp macro="" textlink="">
      <xdr:nvSpPr>
        <xdr:cNvPr id="10" name="Flèche : gauche 9">
          <a:extLst>
            <a:ext uri="{FF2B5EF4-FFF2-40B4-BE49-F238E27FC236}">
              <a16:creationId xmlns:a16="http://schemas.microsoft.com/office/drawing/2014/main" id="{73D2F75C-522F-45F5-B4A7-C7B11789EE5E}"/>
            </a:ext>
          </a:extLst>
        </xdr:cNvPr>
        <xdr:cNvSpPr/>
      </xdr:nvSpPr>
      <xdr:spPr>
        <a:xfrm rot="16200000">
          <a:off x="19792723" y="43389777"/>
          <a:ext cx="292554" cy="571500"/>
        </a:xfrm>
        <a:prstGeom prst="leftArrow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460376</xdr:colOff>
      <xdr:row>91</xdr:row>
      <xdr:rowOff>79374</xdr:rowOff>
    </xdr:from>
    <xdr:to>
      <xdr:col>4</xdr:col>
      <xdr:colOff>31751</xdr:colOff>
      <xdr:row>93</xdr:row>
      <xdr:rowOff>292552</xdr:rowOff>
    </xdr:to>
    <xdr:sp macro="" textlink="">
      <xdr:nvSpPr>
        <xdr:cNvPr id="11" name="Flèche : gauche 10">
          <a:extLst>
            <a:ext uri="{FF2B5EF4-FFF2-40B4-BE49-F238E27FC236}">
              <a16:creationId xmlns:a16="http://schemas.microsoft.com/office/drawing/2014/main" id="{D2B39A85-30F6-4FD3-9DFB-599CF68E0959}"/>
            </a:ext>
          </a:extLst>
        </xdr:cNvPr>
        <xdr:cNvSpPr/>
      </xdr:nvSpPr>
      <xdr:spPr>
        <a:xfrm rot="16200000">
          <a:off x="2854100" y="26895650"/>
          <a:ext cx="752928" cy="492125"/>
        </a:xfrm>
        <a:prstGeom prst="leftArrow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285752</xdr:colOff>
      <xdr:row>93</xdr:row>
      <xdr:rowOff>15874</xdr:rowOff>
    </xdr:from>
    <xdr:to>
      <xdr:col>12</xdr:col>
      <xdr:colOff>873130</xdr:colOff>
      <xdr:row>94</xdr:row>
      <xdr:rowOff>15875</xdr:rowOff>
    </xdr:to>
    <xdr:sp macro="" textlink="">
      <xdr:nvSpPr>
        <xdr:cNvPr id="12" name="Flèche : gauche 11">
          <a:extLst>
            <a:ext uri="{FF2B5EF4-FFF2-40B4-BE49-F238E27FC236}">
              <a16:creationId xmlns:a16="http://schemas.microsoft.com/office/drawing/2014/main" id="{FBB41A2A-430F-44E4-AB6E-64A81C55A039}"/>
            </a:ext>
          </a:extLst>
        </xdr:cNvPr>
        <xdr:cNvSpPr/>
      </xdr:nvSpPr>
      <xdr:spPr>
        <a:xfrm rot="16200000">
          <a:off x="12485690" y="27693936"/>
          <a:ext cx="317501" cy="587378"/>
        </a:xfrm>
        <a:prstGeom prst="leftArrow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428624</xdr:colOff>
      <xdr:row>157</xdr:row>
      <xdr:rowOff>0</xdr:rowOff>
    </xdr:from>
    <xdr:to>
      <xdr:col>12</xdr:col>
      <xdr:colOff>333374</xdr:colOff>
      <xdr:row>163</xdr:row>
      <xdr:rowOff>136071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A8E9B221-6787-4620-90BA-AB0AC7DD0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74839</xdr:colOff>
      <xdr:row>44</xdr:row>
      <xdr:rowOff>217710</xdr:rowOff>
    </xdr:from>
    <xdr:to>
      <xdr:col>27</xdr:col>
      <xdr:colOff>333375</xdr:colOff>
      <xdr:row>46</xdr:row>
      <xdr:rowOff>190500</xdr:rowOff>
    </xdr:to>
    <xdr:sp macro="" textlink="">
      <xdr:nvSpPr>
        <xdr:cNvPr id="16" name="Flèche : angle droit 15">
          <a:extLst>
            <a:ext uri="{FF2B5EF4-FFF2-40B4-BE49-F238E27FC236}">
              <a16:creationId xmlns:a16="http://schemas.microsoft.com/office/drawing/2014/main" id="{014E2C61-B56B-4FFC-808A-14B5444F91D6}"/>
            </a:ext>
          </a:extLst>
        </xdr:cNvPr>
        <xdr:cNvSpPr/>
      </xdr:nvSpPr>
      <xdr:spPr>
        <a:xfrm flipV="1">
          <a:off x="22950714" y="11219085"/>
          <a:ext cx="861786" cy="671290"/>
        </a:xfrm>
        <a:prstGeom prst="bentUpArrow">
          <a:avLst>
            <a:gd name="adj1" fmla="val 19641"/>
            <a:gd name="adj2" fmla="val 28209"/>
            <a:gd name="adj3" fmla="val 37195"/>
          </a:avLst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317503</xdr:colOff>
      <xdr:row>55</xdr:row>
      <xdr:rowOff>31750</xdr:rowOff>
    </xdr:from>
    <xdr:to>
      <xdr:col>6</xdr:col>
      <xdr:colOff>666753</xdr:colOff>
      <xdr:row>56</xdr:row>
      <xdr:rowOff>238125</xdr:rowOff>
    </xdr:to>
    <xdr:sp macro="" textlink="">
      <xdr:nvSpPr>
        <xdr:cNvPr id="5" name="Flèche : bas 4">
          <a:extLst>
            <a:ext uri="{FF2B5EF4-FFF2-40B4-BE49-F238E27FC236}">
              <a16:creationId xmlns:a16="http://schemas.microsoft.com/office/drawing/2014/main" id="{393A62EA-D38D-3DFA-160E-20F0A7103A37}"/>
            </a:ext>
          </a:extLst>
        </xdr:cNvPr>
        <xdr:cNvSpPr/>
      </xdr:nvSpPr>
      <xdr:spPr>
        <a:xfrm rot="16200000">
          <a:off x="5659440" y="15311438"/>
          <a:ext cx="492125" cy="349250"/>
        </a:xfrm>
        <a:prstGeom prst="downArrow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730251</xdr:colOff>
      <xdr:row>120</xdr:row>
      <xdr:rowOff>31749</xdr:rowOff>
    </xdr:from>
    <xdr:to>
      <xdr:col>4</xdr:col>
      <xdr:colOff>301626</xdr:colOff>
      <xdr:row>122</xdr:row>
      <xdr:rowOff>159202</xdr:rowOff>
    </xdr:to>
    <xdr:sp macro="" textlink="">
      <xdr:nvSpPr>
        <xdr:cNvPr id="14" name="Flèche : gauche 13">
          <a:extLst>
            <a:ext uri="{FF2B5EF4-FFF2-40B4-BE49-F238E27FC236}">
              <a16:creationId xmlns:a16="http://schemas.microsoft.com/office/drawing/2014/main" id="{11CE68DC-DE87-4875-9C10-737E8BAEB476}"/>
            </a:ext>
          </a:extLst>
        </xdr:cNvPr>
        <xdr:cNvSpPr/>
      </xdr:nvSpPr>
      <xdr:spPr>
        <a:xfrm rot="16200000">
          <a:off x="3293837" y="38187538"/>
          <a:ext cx="571953" cy="492125"/>
        </a:xfrm>
        <a:prstGeom prst="leftArrow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3</xdr:col>
      <xdr:colOff>904874</xdr:colOff>
      <xdr:row>66</xdr:row>
      <xdr:rowOff>77358</xdr:rowOff>
    </xdr:from>
    <xdr:to>
      <xdr:col>5</xdr:col>
      <xdr:colOff>841375</xdr:colOff>
      <xdr:row>67</xdr:row>
      <xdr:rowOff>1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4E45B139-02E4-6866-0149-E1154ED5E5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49346" r="47099" b="37255"/>
        <a:stretch/>
      </xdr:blipFill>
      <xdr:spPr>
        <a:xfrm>
          <a:off x="3603624" y="18809858"/>
          <a:ext cx="2016126" cy="7005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181248</xdr:colOff>
      <xdr:row>1</xdr:row>
      <xdr:rowOff>39923</xdr:rowOff>
    </xdr:from>
    <xdr:to>
      <xdr:col>3</xdr:col>
      <xdr:colOff>425903</xdr:colOff>
      <xdr:row>3</xdr:row>
      <xdr:rowOff>153761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51F6AD3-F14D-4237-8DB8-97F5080E2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248" y="239948"/>
          <a:ext cx="1949630" cy="4948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254727</xdr:colOff>
      <xdr:row>1</xdr:row>
      <xdr:rowOff>89807</xdr:rowOff>
    </xdr:from>
    <xdr:to>
      <xdr:col>3</xdr:col>
      <xdr:colOff>12700</xdr:colOff>
      <xdr:row>3</xdr:row>
      <xdr:rowOff>180975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9B7FDFC-D85E-4E58-9F5B-AB04DFB64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102" y="327932"/>
          <a:ext cx="2012223" cy="605518"/>
        </a:xfrm>
        <a:prstGeom prst="rect">
          <a:avLst/>
        </a:prstGeom>
      </xdr:spPr>
    </xdr:pic>
    <xdr:clientData/>
  </xdr:twoCellAnchor>
  <xdr:twoCellAnchor>
    <xdr:from>
      <xdr:col>21</xdr:col>
      <xdr:colOff>400171</xdr:colOff>
      <xdr:row>58</xdr:row>
      <xdr:rowOff>201634</xdr:rowOff>
    </xdr:from>
    <xdr:to>
      <xdr:col>21</xdr:col>
      <xdr:colOff>749009</xdr:colOff>
      <xdr:row>60</xdr:row>
      <xdr:rowOff>88653</xdr:rowOff>
    </xdr:to>
    <xdr:sp macro="" textlink="">
      <xdr:nvSpPr>
        <xdr:cNvPr id="3" name="Flèche : gauche 2">
          <a:extLst>
            <a:ext uri="{FF2B5EF4-FFF2-40B4-BE49-F238E27FC236}">
              <a16:creationId xmlns:a16="http://schemas.microsoft.com/office/drawing/2014/main" id="{A5832B4C-C49C-44A8-AD35-C272E94CD367}"/>
            </a:ext>
          </a:extLst>
        </xdr:cNvPr>
        <xdr:cNvSpPr/>
      </xdr:nvSpPr>
      <xdr:spPr>
        <a:xfrm rot="10800000">
          <a:off x="20831296" y="16330634"/>
          <a:ext cx="348838" cy="363269"/>
        </a:xfrm>
        <a:prstGeom prst="leftArrow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21</xdr:col>
      <xdr:colOff>400171</xdr:colOff>
      <xdr:row>87</xdr:row>
      <xdr:rowOff>58759</xdr:rowOff>
    </xdr:from>
    <xdr:to>
      <xdr:col>21</xdr:col>
      <xdr:colOff>749009</xdr:colOff>
      <xdr:row>88</xdr:row>
      <xdr:rowOff>152153</xdr:rowOff>
    </xdr:to>
    <xdr:sp macro="" textlink="">
      <xdr:nvSpPr>
        <xdr:cNvPr id="4" name="Flèche : gauche 3">
          <a:extLst>
            <a:ext uri="{FF2B5EF4-FFF2-40B4-BE49-F238E27FC236}">
              <a16:creationId xmlns:a16="http://schemas.microsoft.com/office/drawing/2014/main" id="{6B3298C9-3031-45C3-8A95-A865720B399B}"/>
            </a:ext>
          </a:extLst>
        </xdr:cNvPr>
        <xdr:cNvSpPr/>
      </xdr:nvSpPr>
      <xdr:spPr>
        <a:xfrm rot="10800000">
          <a:off x="21021796" y="24712634"/>
          <a:ext cx="348838" cy="363269"/>
        </a:xfrm>
        <a:prstGeom prst="leftArrow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21</xdr:col>
      <xdr:colOff>368421</xdr:colOff>
      <xdr:row>95</xdr:row>
      <xdr:rowOff>27009</xdr:rowOff>
    </xdr:from>
    <xdr:to>
      <xdr:col>21</xdr:col>
      <xdr:colOff>717259</xdr:colOff>
      <xdr:row>96</xdr:row>
      <xdr:rowOff>120403</xdr:rowOff>
    </xdr:to>
    <xdr:sp macro="" textlink="">
      <xdr:nvSpPr>
        <xdr:cNvPr id="5" name="Flèche : gauche 4">
          <a:extLst>
            <a:ext uri="{FF2B5EF4-FFF2-40B4-BE49-F238E27FC236}">
              <a16:creationId xmlns:a16="http://schemas.microsoft.com/office/drawing/2014/main" id="{FAC87446-E74C-4654-8781-56746B2D3547}"/>
            </a:ext>
          </a:extLst>
        </xdr:cNvPr>
        <xdr:cNvSpPr/>
      </xdr:nvSpPr>
      <xdr:spPr>
        <a:xfrm rot="10800000">
          <a:off x="20990046" y="26093759"/>
          <a:ext cx="348838" cy="363269"/>
        </a:xfrm>
        <a:prstGeom prst="leftArrow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21</xdr:col>
      <xdr:colOff>368421</xdr:colOff>
      <xdr:row>103</xdr:row>
      <xdr:rowOff>27009</xdr:rowOff>
    </xdr:from>
    <xdr:to>
      <xdr:col>21</xdr:col>
      <xdr:colOff>717259</xdr:colOff>
      <xdr:row>104</xdr:row>
      <xdr:rowOff>72778</xdr:rowOff>
    </xdr:to>
    <xdr:sp macro="" textlink="">
      <xdr:nvSpPr>
        <xdr:cNvPr id="6" name="Flèche : gauche 5">
          <a:extLst>
            <a:ext uri="{FF2B5EF4-FFF2-40B4-BE49-F238E27FC236}">
              <a16:creationId xmlns:a16="http://schemas.microsoft.com/office/drawing/2014/main" id="{85E0B9A9-CF4E-4688-A4B9-AC2FC56991BF}"/>
            </a:ext>
          </a:extLst>
        </xdr:cNvPr>
        <xdr:cNvSpPr/>
      </xdr:nvSpPr>
      <xdr:spPr>
        <a:xfrm rot="10800000">
          <a:off x="20990046" y="27506634"/>
          <a:ext cx="348838" cy="363269"/>
        </a:xfrm>
        <a:prstGeom prst="leftArrow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21</xdr:col>
      <xdr:colOff>304921</xdr:colOff>
      <xdr:row>111</xdr:row>
      <xdr:rowOff>11134</xdr:rowOff>
    </xdr:from>
    <xdr:to>
      <xdr:col>21</xdr:col>
      <xdr:colOff>653759</xdr:colOff>
      <xdr:row>112</xdr:row>
      <xdr:rowOff>56903</xdr:rowOff>
    </xdr:to>
    <xdr:sp macro="" textlink="">
      <xdr:nvSpPr>
        <xdr:cNvPr id="7" name="Flèche : gauche 6">
          <a:extLst>
            <a:ext uri="{FF2B5EF4-FFF2-40B4-BE49-F238E27FC236}">
              <a16:creationId xmlns:a16="http://schemas.microsoft.com/office/drawing/2014/main" id="{B43B4A5F-19E8-42BD-80FF-690BB966B77A}"/>
            </a:ext>
          </a:extLst>
        </xdr:cNvPr>
        <xdr:cNvSpPr/>
      </xdr:nvSpPr>
      <xdr:spPr>
        <a:xfrm rot="10800000">
          <a:off x="20894796" y="27586009"/>
          <a:ext cx="348838" cy="363269"/>
        </a:xfrm>
        <a:prstGeom prst="leftArrow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21</xdr:col>
      <xdr:colOff>368421</xdr:colOff>
      <xdr:row>146</xdr:row>
      <xdr:rowOff>138134</xdr:rowOff>
    </xdr:from>
    <xdr:to>
      <xdr:col>21</xdr:col>
      <xdr:colOff>717259</xdr:colOff>
      <xdr:row>147</xdr:row>
      <xdr:rowOff>183903</xdr:rowOff>
    </xdr:to>
    <xdr:sp macro="" textlink="">
      <xdr:nvSpPr>
        <xdr:cNvPr id="9" name="Flèche : gauche 8">
          <a:extLst>
            <a:ext uri="{FF2B5EF4-FFF2-40B4-BE49-F238E27FC236}">
              <a16:creationId xmlns:a16="http://schemas.microsoft.com/office/drawing/2014/main" id="{67C69835-C2B9-4A0D-8645-AA18FC5C7285}"/>
            </a:ext>
          </a:extLst>
        </xdr:cNvPr>
        <xdr:cNvSpPr/>
      </xdr:nvSpPr>
      <xdr:spPr>
        <a:xfrm rot="10800000">
          <a:off x="22529921" y="40222509"/>
          <a:ext cx="348838" cy="363269"/>
        </a:xfrm>
        <a:prstGeom prst="leftArrow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254727</xdr:colOff>
      <xdr:row>1</xdr:row>
      <xdr:rowOff>89807</xdr:rowOff>
    </xdr:from>
    <xdr:to>
      <xdr:col>3</xdr:col>
      <xdr:colOff>568325</xdr:colOff>
      <xdr:row>3</xdr:row>
      <xdr:rowOff>180975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3296F80-3EB4-40B2-ACA3-97F95F9A6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102" y="327932"/>
          <a:ext cx="2012223" cy="6055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7C0C-6911-4AA3-91D3-2024DB9EAADC}">
  <dimension ref="B1:V39"/>
  <sheetViews>
    <sheetView workbookViewId="0">
      <selection activeCell="J24" sqref="J24:L24"/>
    </sheetView>
  </sheetViews>
  <sheetFormatPr baseColWidth="10" defaultRowHeight="15" x14ac:dyDescent="0.25"/>
  <cols>
    <col min="20" max="20" width="14.7109375" customWidth="1"/>
  </cols>
  <sheetData>
    <row r="1" spans="2:22" ht="15.75" thickBot="1" x14ac:dyDescent="0.3"/>
    <row r="2" spans="2:22" x14ac:dyDescent="0.25">
      <c r="B2" s="213"/>
      <c r="C2" s="214"/>
      <c r="D2" s="215"/>
      <c r="E2" s="222" t="s">
        <v>17</v>
      </c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5" t="s">
        <v>316</v>
      </c>
      <c r="T2" s="225"/>
      <c r="U2" s="87"/>
      <c r="V2" s="87"/>
    </row>
    <row r="3" spans="2:22" x14ac:dyDescent="0.25">
      <c r="B3" s="216"/>
      <c r="C3" s="217"/>
      <c r="D3" s="218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6"/>
      <c r="T3" s="226"/>
      <c r="U3" s="87"/>
      <c r="V3" s="87"/>
    </row>
    <row r="4" spans="2:22" ht="31.5" customHeight="1" thickBot="1" x14ac:dyDescent="0.3">
      <c r="B4" s="219"/>
      <c r="C4" s="220"/>
      <c r="D4" s="221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7"/>
      <c r="T4" s="227"/>
      <c r="U4" s="87"/>
      <c r="V4" s="87"/>
    </row>
    <row r="5" spans="2:22" x14ac:dyDescent="0.25"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8" spans="2:22" ht="15.75" thickBot="1" x14ac:dyDescent="0.3"/>
    <row r="9" spans="2:22" x14ac:dyDescent="0.25">
      <c r="D9" s="268" t="s">
        <v>276</v>
      </c>
      <c r="E9" s="269"/>
      <c r="F9" s="270"/>
      <c r="G9" s="268" t="s">
        <v>277</v>
      </c>
      <c r="H9" s="269"/>
      <c r="I9" s="270"/>
      <c r="J9" s="269" t="s">
        <v>278</v>
      </c>
      <c r="K9" s="269"/>
      <c r="L9" s="270"/>
    </row>
    <row r="10" spans="2:22" ht="15.75" thickBot="1" x14ac:dyDescent="0.3">
      <c r="D10" s="271"/>
      <c r="E10" s="272"/>
      <c r="F10" s="273"/>
      <c r="G10" s="271"/>
      <c r="H10" s="272"/>
      <c r="I10" s="273"/>
      <c r="J10" s="272"/>
      <c r="K10" s="272"/>
      <c r="L10" s="273"/>
    </row>
    <row r="11" spans="2:22" x14ac:dyDescent="0.25">
      <c r="D11" s="236">
        <v>1</v>
      </c>
      <c r="E11" s="237"/>
      <c r="F11" s="251"/>
      <c r="G11" s="262"/>
      <c r="H11" s="237"/>
      <c r="I11" s="251"/>
      <c r="J11" s="239" t="s">
        <v>279</v>
      </c>
      <c r="K11" s="239"/>
      <c r="L11" s="252"/>
    </row>
    <row r="12" spans="2:22" x14ac:dyDescent="0.25">
      <c r="D12" s="238"/>
      <c r="E12" s="239"/>
      <c r="F12" s="252"/>
      <c r="G12" s="238"/>
      <c r="H12" s="239"/>
      <c r="I12" s="252"/>
      <c r="J12" s="239"/>
      <c r="K12" s="239"/>
      <c r="L12" s="252"/>
    </row>
    <row r="13" spans="2:22" ht="15.75" thickBot="1" x14ac:dyDescent="0.3">
      <c r="D13" s="240"/>
      <c r="E13" s="241"/>
      <c r="F13" s="253"/>
      <c r="G13" s="240"/>
      <c r="H13" s="241"/>
      <c r="I13" s="253"/>
      <c r="J13" s="241"/>
      <c r="K13" s="241"/>
      <c r="L13" s="253"/>
    </row>
    <row r="14" spans="2:22" x14ac:dyDescent="0.25">
      <c r="D14" s="236">
        <v>2</v>
      </c>
      <c r="E14" s="237"/>
      <c r="F14" s="251"/>
      <c r="G14" s="262"/>
      <c r="H14" s="237"/>
      <c r="I14" s="251"/>
      <c r="J14" s="239"/>
      <c r="K14" s="239"/>
      <c r="L14" s="252"/>
    </row>
    <row r="15" spans="2:22" x14ac:dyDescent="0.25">
      <c r="D15" s="238"/>
      <c r="E15" s="239"/>
      <c r="F15" s="252"/>
      <c r="G15" s="238"/>
      <c r="H15" s="239"/>
      <c r="I15" s="252"/>
      <c r="J15" s="239"/>
      <c r="K15" s="239"/>
      <c r="L15" s="252"/>
    </row>
    <row r="16" spans="2:22" ht="15.75" thickBot="1" x14ac:dyDescent="0.3">
      <c r="D16" s="240"/>
      <c r="E16" s="241"/>
      <c r="F16" s="253"/>
      <c r="G16" s="240"/>
      <c r="H16" s="241"/>
      <c r="I16" s="253"/>
      <c r="J16" s="241"/>
      <c r="K16" s="241"/>
      <c r="L16" s="253"/>
    </row>
    <row r="17" spans="4:16" x14ac:dyDescent="0.25">
      <c r="D17" s="236">
        <v>3</v>
      </c>
      <c r="E17" s="237"/>
      <c r="F17" s="251"/>
      <c r="G17" s="262"/>
      <c r="H17" s="237"/>
      <c r="I17" s="251"/>
      <c r="J17" s="263"/>
      <c r="K17" s="264"/>
      <c r="L17" s="265"/>
    </row>
    <row r="18" spans="4:16" x14ac:dyDescent="0.25">
      <c r="D18" s="238"/>
      <c r="E18" s="239"/>
      <c r="F18" s="252"/>
      <c r="G18" s="238"/>
      <c r="H18" s="239"/>
      <c r="I18" s="252"/>
      <c r="J18" s="264"/>
      <c r="K18" s="264"/>
      <c r="L18" s="265"/>
    </row>
    <row r="19" spans="4:16" ht="15.75" thickBot="1" x14ac:dyDescent="0.3">
      <c r="D19" s="240"/>
      <c r="E19" s="241"/>
      <c r="F19" s="253"/>
      <c r="G19" s="240"/>
      <c r="H19" s="241"/>
      <c r="I19" s="253"/>
      <c r="J19" s="266"/>
      <c r="K19" s="266"/>
      <c r="L19" s="267"/>
    </row>
    <row r="20" spans="4:16" x14ac:dyDescent="0.25">
      <c r="D20" s="236">
        <v>4</v>
      </c>
      <c r="E20" s="237"/>
      <c r="F20" s="251"/>
      <c r="G20" s="262"/>
      <c r="H20" s="237"/>
      <c r="I20" s="251"/>
      <c r="J20" s="263"/>
      <c r="K20" s="264"/>
      <c r="L20" s="265"/>
    </row>
    <row r="21" spans="4:16" x14ac:dyDescent="0.25">
      <c r="D21" s="238"/>
      <c r="E21" s="239"/>
      <c r="F21" s="252"/>
      <c r="G21" s="238"/>
      <c r="H21" s="239"/>
      <c r="I21" s="252"/>
      <c r="J21" s="264"/>
      <c r="K21" s="264"/>
      <c r="L21" s="265"/>
    </row>
    <row r="22" spans="4:16" ht="15.75" thickBot="1" x14ac:dyDescent="0.3">
      <c r="D22" s="238"/>
      <c r="E22" s="239"/>
      <c r="F22" s="252"/>
      <c r="G22" s="238"/>
      <c r="H22" s="239"/>
      <c r="I22" s="252"/>
      <c r="J22" s="264"/>
      <c r="K22" s="264"/>
      <c r="L22" s="265"/>
    </row>
    <row r="23" spans="4:16" ht="29.25" customHeight="1" thickBot="1" x14ac:dyDescent="0.3">
      <c r="D23" s="254">
        <v>5</v>
      </c>
      <c r="E23" s="255"/>
      <c r="F23" s="256"/>
      <c r="G23" s="257">
        <v>46075</v>
      </c>
      <c r="H23" s="255"/>
      <c r="I23" s="258"/>
      <c r="J23" s="259" t="s">
        <v>285</v>
      </c>
      <c r="K23" s="260"/>
      <c r="L23" s="261"/>
    </row>
    <row r="24" spans="4:16" ht="26.25" customHeight="1" thickBot="1" x14ac:dyDescent="0.3">
      <c r="D24" s="254">
        <v>6</v>
      </c>
      <c r="E24" s="255"/>
      <c r="F24" s="256"/>
      <c r="G24" s="257">
        <v>46244</v>
      </c>
      <c r="H24" s="255"/>
      <c r="I24" s="258"/>
      <c r="J24" s="259" t="s">
        <v>315</v>
      </c>
      <c r="K24" s="260"/>
      <c r="L24" s="261"/>
    </row>
    <row r="25" spans="4:16" ht="15.75" thickBot="1" x14ac:dyDescent="0.3">
      <c r="D25" s="254">
        <v>7</v>
      </c>
      <c r="E25" s="255"/>
      <c r="F25" s="256"/>
      <c r="G25" s="257"/>
      <c r="H25" s="255"/>
      <c r="I25" s="258"/>
      <c r="J25" s="259"/>
      <c r="K25" s="260"/>
      <c r="L25" s="261"/>
    </row>
    <row r="26" spans="4:16" ht="15.75" thickBot="1" x14ac:dyDescent="0.3">
      <c r="E26" s="198"/>
      <c r="F26" s="198"/>
      <c r="G26" s="198"/>
      <c r="H26" s="198"/>
      <c r="I26" s="199"/>
      <c r="J26" s="199"/>
      <c r="K26" s="200"/>
      <c r="L26" s="200"/>
    </row>
    <row r="27" spans="4:16" x14ac:dyDescent="0.25">
      <c r="F27" s="228" t="s">
        <v>280</v>
      </c>
      <c r="G27" s="229"/>
      <c r="H27" s="229"/>
      <c r="I27" s="228" t="s">
        <v>281</v>
      </c>
      <c r="J27" s="229"/>
      <c r="K27" s="232"/>
      <c r="L27" s="201"/>
    </row>
    <row r="28" spans="4:16" ht="15.75" thickBot="1" x14ac:dyDescent="0.3">
      <c r="F28" s="230"/>
      <c r="G28" s="231"/>
      <c r="H28" s="231"/>
      <c r="I28" s="230"/>
      <c r="J28" s="231"/>
      <c r="K28" s="233"/>
      <c r="L28" s="201"/>
    </row>
    <row r="29" spans="4:16" x14ac:dyDescent="0.25">
      <c r="D29" s="228" t="s">
        <v>282</v>
      </c>
      <c r="E29" s="232"/>
      <c r="F29" s="236" t="s">
        <v>283</v>
      </c>
      <c r="G29" s="237"/>
      <c r="H29" s="237"/>
      <c r="I29" s="242" t="s">
        <v>286</v>
      </c>
      <c r="J29" s="243"/>
      <c r="K29" s="244"/>
      <c r="L29" s="201"/>
      <c r="P29" s="126"/>
    </row>
    <row r="30" spans="4:16" x14ac:dyDescent="0.25">
      <c r="D30" s="234"/>
      <c r="E30" s="235"/>
      <c r="F30" s="238"/>
      <c r="G30" s="239"/>
      <c r="H30" s="239"/>
      <c r="I30" s="245"/>
      <c r="J30" s="246"/>
      <c r="K30" s="247"/>
      <c r="L30" s="201"/>
    </row>
    <row r="31" spans="4:16" ht="15.75" thickBot="1" x14ac:dyDescent="0.3">
      <c r="D31" s="230"/>
      <c r="E31" s="233"/>
      <c r="F31" s="240"/>
      <c r="G31" s="241"/>
      <c r="H31" s="241"/>
      <c r="I31" s="248"/>
      <c r="J31" s="249"/>
      <c r="K31" s="250"/>
      <c r="L31" s="201"/>
    </row>
    <row r="32" spans="4:16" x14ac:dyDescent="0.25">
      <c r="D32" s="234" t="s">
        <v>284</v>
      </c>
      <c r="E32" s="235"/>
      <c r="F32" s="236"/>
      <c r="G32" s="237"/>
      <c r="H32" s="237"/>
      <c r="I32" s="236"/>
      <c r="J32" s="237"/>
      <c r="K32" s="251"/>
      <c r="L32" s="201"/>
    </row>
    <row r="33" spans="2:18" x14ac:dyDescent="0.25">
      <c r="D33" s="234"/>
      <c r="E33" s="235"/>
      <c r="F33" s="238"/>
      <c r="G33" s="239"/>
      <c r="H33" s="239"/>
      <c r="I33" s="238"/>
      <c r="J33" s="239"/>
      <c r="K33" s="252"/>
      <c r="L33" s="201"/>
    </row>
    <row r="34" spans="2:18" ht="15.75" thickBot="1" x14ac:dyDescent="0.3">
      <c r="D34" s="230"/>
      <c r="E34" s="233"/>
      <c r="F34" s="240"/>
      <c r="G34" s="241"/>
      <c r="H34" s="241"/>
      <c r="I34" s="240"/>
      <c r="J34" s="241"/>
      <c r="K34" s="253"/>
      <c r="L34" s="201"/>
    </row>
    <row r="37" spans="2:18" x14ac:dyDescent="0.25">
      <c r="B37" s="212" t="s">
        <v>238</v>
      </c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</row>
    <row r="38" spans="2:18" x14ac:dyDescent="0.25"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</row>
    <row r="39" spans="2:18" x14ac:dyDescent="0.25"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</row>
  </sheetData>
  <mergeCells count="36">
    <mergeCell ref="D9:F10"/>
    <mergeCell ref="G9:I10"/>
    <mergeCell ref="J9:L10"/>
    <mergeCell ref="D11:F13"/>
    <mergeCell ref="G11:I13"/>
    <mergeCell ref="J11:L13"/>
    <mergeCell ref="D14:F16"/>
    <mergeCell ref="G14:I16"/>
    <mergeCell ref="J14:L16"/>
    <mergeCell ref="D17:F19"/>
    <mergeCell ref="G17:I19"/>
    <mergeCell ref="J17:L19"/>
    <mergeCell ref="G25:I25"/>
    <mergeCell ref="J25:L25"/>
    <mergeCell ref="D20:F22"/>
    <mergeCell ref="G20:I22"/>
    <mergeCell ref="J20:L22"/>
    <mergeCell ref="D23:F23"/>
    <mergeCell ref="G23:I23"/>
    <mergeCell ref="J23:L23"/>
    <mergeCell ref="B37:R39"/>
    <mergeCell ref="B2:D4"/>
    <mergeCell ref="E2:R4"/>
    <mergeCell ref="S2:T4"/>
    <mergeCell ref="F27:H28"/>
    <mergeCell ref="I27:K28"/>
    <mergeCell ref="D29:E31"/>
    <mergeCell ref="F29:H31"/>
    <mergeCell ref="I29:K31"/>
    <mergeCell ref="D32:E34"/>
    <mergeCell ref="F32:H34"/>
    <mergeCell ref="I32:K34"/>
    <mergeCell ref="D24:F24"/>
    <mergeCell ref="G24:I24"/>
    <mergeCell ref="J24:L24"/>
    <mergeCell ref="D25:F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DFF0-977B-410A-A656-F1DFE7D866FC}">
  <dimension ref="A1:AA269"/>
  <sheetViews>
    <sheetView showGridLines="0" zoomScaleNormal="100" workbookViewId="0">
      <pane xSplit="1" ySplit="14" topLeftCell="B15" activePane="bottomRight" state="frozen"/>
      <selection pane="topRight" activeCell="B1" sqref="B1"/>
      <selection pane="bottomLeft" activeCell="A10" sqref="A10"/>
      <selection pane="bottomRight" activeCell="B20" sqref="B20:U22"/>
    </sheetView>
  </sheetViews>
  <sheetFormatPr baseColWidth="10" defaultColWidth="8.7109375" defaultRowHeight="15" x14ac:dyDescent="0.25"/>
  <cols>
    <col min="1" max="1" width="3" style="202" customWidth="1"/>
    <col min="2" max="2" width="30.5703125" style="202" customWidth="1"/>
    <col min="3" max="21" width="12" style="202" customWidth="1"/>
    <col min="22" max="16384" width="8.7109375" style="202"/>
  </cols>
  <sheetData>
    <row r="1" spans="1:27" customFormat="1" ht="18.75" customHeight="1" thickBot="1" x14ac:dyDescent="0.3"/>
    <row r="2" spans="1:27" customFormat="1" ht="22.5" customHeight="1" x14ac:dyDescent="0.25">
      <c r="B2" s="213"/>
      <c r="C2" s="214"/>
      <c r="D2" s="215"/>
      <c r="E2" s="276" t="s">
        <v>17</v>
      </c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84" t="s">
        <v>317</v>
      </c>
      <c r="W2" s="284"/>
      <c r="X2" s="284"/>
      <c r="Y2" s="87"/>
      <c r="Z2" s="87"/>
      <c r="AA2" s="87"/>
    </row>
    <row r="3" spans="1:27" customFormat="1" ht="18" customHeight="1" x14ac:dyDescent="0.25">
      <c r="B3" s="216"/>
      <c r="C3" s="217"/>
      <c r="D3" s="218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85"/>
      <c r="W3" s="285"/>
      <c r="X3" s="285"/>
      <c r="Y3" s="87"/>
      <c r="Z3" s="87"/>
      <c r="AA3" s="87"/>
    </row>
    <row r="4" spans="1:27" customFormat="1" ht="18.75" customHeight="1" thickBot="1" x14ac:dyDescent="0.3">
      <c r="B4" s="219"/>
      <c r="C4" s="220"/>
      <c r="D4" s="221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86"/>
      <c r="W4" s="286"/>
      <c r="X4" s="286"/>
      <c r="Y4" s="87"/>
      <c r="Z4" s="87"/>
      <c r="AA4" s="87"/>
    </row>
    <row r="5" spans="1:27" customFormat="1" ht="19.5" customHeight="1" x14ac:dyDescent="0.25"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1:27" ht="24" customHeight="1" x14ac:dyDescent="0.25">
      <c r="B7" s="279" t="s">
        <v>314</v>
      </c>
      <c r="C7" s="279"/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</row>
    <row r="9" spans="1:27" ht="15" customHeight="1" x14ac:dyDescent="0.25">
      <c r="B9" s="274" t="s">
        <v>313</v>
      </c>
      <c r="C9" s="274"/>
      <c r="D9" s="274"/>
    </row>
    <row r="10" spans="1:27" ht="25.5" x14ac:dyDescent="0.25">
      <c r="B10" s="211" t="s">
        <v>312</v>
      </c>
      <c r="C10" s="280">
        <v>25</v>
      </c>
      <c r="D10" s="280"/>
      <c r="E10" s="281" t="str">
        <f>IF(C10&lt;C11,"Impossible : N ("&amp;C10&amp;") est inferieur a k ("&amp;C11&amp;"). Augmentez N ou reduisez le nombre de libelles.",IF(C10&gt;200,"N depasse la capacite de cette feuille (200 lots max). Voir la note en bas de page.","OK : "&amp;C10&amp;" lots au total, "&amp;C11&amp;" a selectionner, "&amp;(C10-C11)&amp;" en reserve."))</f>
        <v>OK : 25 lots au total, 12 a selectionner, 13 en reserve.</v>
      </c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</row>
    <row r="11" spans="1:27" ht="38.25" x14ac:dyDescent="0.25">
      <c r="B11" s="211" t="s">
        <v>311</v>
      </c>
      <c r="C11" s="282">
        <f>COUNTA(B15:U15)</f>
        <v>12</v>
      </c>
      <c r="D11" s="282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1"/>
      <c r="R11" s="281"/>
      <c r="S11" s="281"/>
      <c r="T11" s="281"/>
      <c r="U11" s="281"/>
    </row>
    <row r="12" spans="1:27" ht="15" customHeight="1" x14ac:dyDescent="0.25">
      <c r="B12" s="283" t="s">
        <v>310</v>
      </c>
      <c r="C12" s="283"/>
      <c r="D12" s="283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  <c r="R12" s="281"/>
      <c r="S12" s="281"/>
      <c r="T12" s="281"/>
      <c r="U12" s="281"/>
    </row>
    <row r="14" spans="1:27" ht="15" customHeight="1" x14ac:dyDescent="0.25">
      <c r="B14" s="274" t="s">
        <v>309</v>
      </c>
      <c r="C14" s="274"/>
      <c r="D14" s="274"/>
      <c r="E14" s="274"/>
      <c r="F14" s="274"/>
      <c r="G14" s="274"/>
      <c r="H14" s="274"/>
      <c r="I14" s="274"/>
      <c r="J14" s="274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</row>
    <row r="15" spans="1:27" ht="51" x14ac:dyDescent="0.25">
      <c r="A15" s="209" t="s">
        <v>308</v>
      </c>
      <c r="B15" s="210" t="s">
        <v>307</v>
      </c>
      <c r="C15" s="210" t="s">
        <v>306</v>
      </c>
      <c r="D15" s="210" t="s">
        <v>305</v>
      </c>
      <c r="E15" s="210" t="s">
        <v>304</v>
      </c>
      <c r="F15" s="210" t="s">
        <v>303</v>
      </c>
      <c r="G15" s="210" t="s">
        <v>302</v>
      </c>
      <c r="H15" s="210" t="s">
        <v>301</v>
      </c>
      <c r="I15" s="210" t="s">
        <v>300</v>
      </c>
      <c r="J15" s="210" t="s">
        <v>299</v>
      </c>
      <c r="K15" s="210" t="s">
        <v>298</v>
      </c>
      <c r="L15" s="210" t="s">
        <v>297</v>
      </c>
      <c r="M15" s="210" t="s">
        <v>296</v>
      </c>
      <c r="N15" s="210"/>
      <c r="O15" s="210"/>
      <c r="P15" s="210"/>
      <c r="Q15" s="210"/>
      <c r="R15" s="210"/>
      <c r="S15" s="210"/>
      <c r="T15" s="210"/>
      <c r="U15" s="210"/>
    </row>
    <row r="16" spans="1:27" ht="89.25" x14ac:dyDescent="0.25">
      <c r="A16" s="209" t="s">
        <v>295</v>
      </c>
      <c r="B16" s="208">
        <f ca="1">IF(B15="","",IFERROR(INDEX($B$65:$B$264,MATCH(1,$D$65:$D$264,0)),""))</f>
        <v>3</v>
      </c>
      <c r="C16" s="208">
        <f ca="1">IF(C15="","",IFERROR(INDEX($B$65:$B$264,MATCH(2,$D$65:$D$264,0)),""))</f>
        <v>4</v>
      </c>
      <c r="D16" s="208">
        <f ca="1">IF(D15="","",IFERROR(INDEX($B$65:$B$264,MATCH(3,$D$65:$D$264,0)),""))</f>
        <v>19</v>
      </c>
      <c r="E16" s="208">
        <f ca="1">IF(E15="","",IFERROR(INDEX($B$65:$B$264,MATCH(4,$D$65:$D$264,0)),""))</f>
        <v>2</v>
      </c>
      <c r="F16" s="208">
        <f ca="1">IF(F15="","",IFERROR(INDEX($B$65:$B$264,MATCH(5,$D$65:$D$264,0)),""))</f>
        <v>7</v>
      </c>
      <c r="G16" s="208">
        <f ca="1">IF(G15="","",IFERROR(INDEX($B$65:$B$264,MATCH(6,$D$65:$D$264,0)),""))</f>
        <v>16</v>
      </c>
      <c r="H16" s="208">
        <f ca="1">IF(H15="","",IFERROR(INDEX($B$65:$B$264,MATCH(7,$D$65:$D$264,0)),""))</f>
        <v>12</v>
      </c>
      <c r="I16" s="208">
        <f ca="1">IF(I15="","",IFERROR(INDEX($B$65:$B$264,MATCH(8,$D$65:$D$264,0)),""))</f>
        <v>18</v>
      </c>
      <c r="J16" s="208">
        <f ca="1">IF(J15="","",IFERROR(INDEX($B$65:$B$264,MATCH(9,$D$65:$D$264,0)),""))</f>
        <v>6</v>
      </c>
      <c r="K16" s="208">
        <f ca="1">IF(K15="","",IFERROR(INDEX($B$65:$B$264,MATCH(10,$D$65:$D$264,0)),""))</f>
        <v>5</v>
      </c>
      <c r="L16" s="208">
        <f ca="1">IF(L15="","",IFERROR(INDEX($B$65:$B$264,MATCH(11,$D$65:$D$264,0)),""))</f>
        <v>25</v>
      </c>
      <c r="M16" s="208">
        <f ca="1">IF(M15="","",IFERROR(INDEX($B$65:$B$264,MATCH(12,$D$65:$D$264,0)),""))</f>
        <v>24</v>
      </c>
      <c r="N16" s="207" t="str">
        <f>IF(N15="","",IFERROR(INDEX($B$65:$B$264,MATCH(13,$D$65:$D$264,0)),""))</f>
        <v/>
      </c>
      <c r="O16" s="207" t="str">
        <f>IF(O15="","",IFERROR(INDEX($B$65:$B$264,MATCH(14,$D$65:$D$264,0)),""))</f>
        <v/>
      </c>
      <c r="P16" s="207" t="str">
        <f>IF(P15="","",IFERROR(INDEX($B$65:$B$264,MATCH(15,$D$65:$D$264,0)),""))</f>
        <v/>
      </c>
      <c r="Q16" s="207" t="str">
        <f>IF(Q15="","",IFERROR(INDEX($B$65:$B$264,MATCH(16,$D$65:$D$264,0)),""))</f>
        <v/>
      </c>
      <c r="R16" s="207" t="str">
        <f>IF(R15="","",IFERROR(INDEX($B$65:$B$264,MATCH(17,$D$65:$D$264,0)),""))</f>
        <v/>
      </c>
      <c r="S16" s="207" t="str">
        <f>IF(S15="","",IFERROR(INDEX($B$65:$B$264,MATCH(18,$D$65:$D$264,0)),""))</f>
        <v/>
      </c>
      <c r="T16" s="207" t="str">
        <f>IF(T15="","",IFERROR(INDEX($B$65:$B$264,MATCH(19,$D$65:$D$264,0)),""))</f>
        <v/>
      </c>
      <c r="U16" s="207" t="str">
        <f>IF(U15="","",IFERROR(INDEX($B$65:$B$264,MATCH(20,$D$65:$D$264,0)),""))</f>
        <v/>
      </c>
    </row>
    <row r="18" spans="2:23" ht="27.75" customHeight="1" x14ac:dyDescent="0.25">
      <c r="B18" s="295" t="s">
        <v>294</v>
      </c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</row>
    <row r="20" spans="2:23" ht="19.5" customHeight="1" thickBot="1" x14ac:dyDescent="0.3">
      <c r="B20" s="296" t="s">
        <v>293</v>
      </c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</row>
    <row r="21" spans="2:23" ht="19.5" customHeight="1" thickBot="1" x14ac:dyDescent="0.3"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</row>
    <row r="22" spans="2:23" ht="19.5" customHeight="1" x14ac:dyDescent="0.25">
      <c r="B22" s="296"/>
      <c r="C22" s="296"/>
      <c r="D22" s="296"/>
      <c r="E22" s="296"/>
      <c r="F22" s="296"/>
      <c r="G22" s="296"/>
      <c r="H22" s="296"/>
      <c r="I22" s="296"/>
      <c r="J22" s="296"/>
      <c r="K22" s="296"/>
      <c r="L22" s="296"/>
      <c r="M22" s="296"/>
      <c r="N22" s="296"/>
      <c r="O22" s="296"/>
      <c r="P22" s="296"/>
      <c r="Q22" s="296"/>
      <c r="R22" s="296"/>
      <c r="S22" s="296"/>
      <c r="T22" s="296"/>
      <c r="U22" s="296"/>
    </row>
    <row r="28" spans="2:23" x14ac:dyDescent="0.25">
      <c r="C28" s="287" t="s">
        <v>238</v>
      </c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  <c r="O28" s="288"/>
      <c r="P28" s="288"/>
      <c r="Q28" s="288"/>
      <c r="R28" s="288"/>
      <c r="S28" s="288"/>
      <c r="T28" s="288"/>
      <c r="U28" s="288"/>
      <c r="V28" s="288"/>
      <c r="W28" s="289"/>
    </row>
    <row r="29" spans="2:23" x14ac:dyDescent="0.25">
      <c r="C29" s="290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91"/>
    </row>
    <row r="30" spans="2:23" x14ac:dyDescent="0.25">
      <c r="C30" s="292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4"/>
    </row>
    <row r="63" spans="2:21" ht="15" customHeight="1" x14ac:dyDescent="0.25">
      <c r="B63" s="274" t="s">
        <v>292</v>
      </c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</row>
    <row r="64" spans="2:21" ht="25.5" x14ac:dyDescent="0.25">
      <c r="B64" s="206" t="s">
        <v>291</v>
      </c>
      <c r="C64" s="206" t="s">
        <v>290</v>
      </c>
      <c r="D64" s="206" t="s">
        <v>289</v>
      </c>
      <c r="E64" s="206" t="s">
        <v>288</v>
      </c>
    </row>
    <row r="65" spans="2:5" ht="25.5" x14ac:dyDescent="0.25">
      <c r="B65" s="204">
        <f>IF(1&lt;=$C$10,1,"")</f>
        <v>1</v>
      </c>
      <c r="C65" s="205">
        <f t="shared" ref="C65:C96" ca="1" si="0">IF(B65="","",RAND())</f>
        <v>0.59684737032092827</v>
      </c>
      <c r="D65" s="204">
        <f t="shared" ref="D65:D96" ca="1" si="1">IF(B65="","",RANK(C65,$C$65:$C$264,1))</f>
        <v>20</v>
      </c>
      <c r="E65" s="203" t="str">
        <f t="shared" ref="E65:E96" ca="1" si="2">IF(B65="","",IF(D65&lt;=$C$11,"Selectionne - "&amp;INDEX($B$15:$U$15,D65),"Reserve"))</f>
        <v>Reserve</v>
      </c>
    </row>
    <row r="66" spans="2:5" x14ac:dyDescent="0.25">
      <c r="B66" s="204">
        <f>IF(2&lt;=$C$10,2,"")</f>
        <v>2</v>
      </c>
      <c r="C66" s="205">
        <f t="shared" ca="1" si="0"/>
        <v>0.20642827834135691</v>
      </c>
      <c r="D66" s="204">
        <f t="shared" ca="1" si="1"/>
        <v>4</v>
      </c>
      <c r="E66" s="203" t="str">
        <f t="shared" ca="1" si="2"/>
        <v>Selectionne - H-004</v>
      </c>
    </row>
    <row r="67" spans="2:5" ht="25.5" x14ac:dyDescent="0.25">
      <c r="B67" s="204">
        <f>IF(3&lt;=$C$10,3,"")</f>
        <v>3</v>
      </c>
      <c r="C67" s="205">
        <f t="shared" ca="1" si="0"/>
        <v>3.3242758441132003E-2</v>
      </c>
      <c r="D67" s="204">
        <f t="shared" ca="1" si="1"/>
        <v>1</v>
      </c>
      <c r="E67" s="203" t="str">
        <f t="shared" ca="1" si="2"/>
        <v>Selectionne - H-001</v>
      </c>
    </row>
    <row r="68" spans="2:5" ht="25.5" x14ac:dyDescent="0.25">
      <c r="B68" s="204">
        <f>IF(4&lt;=$C$10,4,"")</f>
        <v>4</v>
      </c>
      <c r="C68" s="205">
        <f t="shared" ca="1" si="0"/>
        <v>4.8695160517368552E-2</v>
      </c>
      <c r="D68" s="204">
        <f t="shared" ca="1" si="1"/>
        <v>2</v>
      </c>
      <c r="E68" s="203" t="str">
        <f t="shared" ca="1" si="2"/>
        <v>Selectionne - H-002</v>
      </c>
    </row>
    <row r="69" spans="2:5" ht="25.5" x14ac:dyDescent="0.25">
      <c r="B69" s="204">
        <f>IF(5&lt;=$C$10,5,"")</f>
        <v>5</v>
      </c>
      <c r="C69" s="205">
        <f t="shared" ca="1" si="0"/>
        <v>0.3858914626917932</v>
      </c>
      <c r="D69" s="204">
        <f t="shared" ca="1" si="1"/>
        <v>10</v>
      </c>
      <c r="E69" s="203" t="str">
        <f t="shared" ca="1" si="2"/>
        <v>Selectionne - H-010</v>
      </c>
    </row>
    <row r="70" spans="2:5" ht="25.5" x14ac:dyDescent="0.25">
      <c r="B70" s="204">
        <f>IF(6&lt;=$C$10,6,"")</f>
        <v>6</v>
      </c>
      <c r="C70" s="205">
        <f t="shared" ca="1" si="0"/>
        <v>0.35720670898460438</v>
      </c>
      <c r="D70" s="204">
        <f t="shared" ca="1" si="1"/>
        <v>9</v>
      </c>
      <c r="E70" s="203" t="str">
        <f t="shared" ca="1" si="2"/>
        <v>Selectionne - H-009</v>
      </c>
    </row>
    <row r="71" spans="2:5" ht="25.5" x14ac:dyDescent="0.25">
      <c r="B71" s="204">
        <f>IF(7&lt;=$C$10,7,"")</f>
        <v>7</v>
      </c>
      <c r="C71" s="205">
        <f t="shared" ca="1" si="0"/>
        <v>0.21532280884161181</v>
      </c>
      <c r="D71" s="204">
        <f t="shared" ca="1" si="1"/>
        <v>5</v>
      </c>
      <c r="E71" s="203" t="str">
        <f t="shared" ca="1" si="2"/>
        <v>Selectionne - H-005</v>
      </c>
    </row>
    <row r="72" spans="2:5" x14ac:dyDescent="0.25">
      <c r="B72" s="204">
        <f>IF(8&lt;=$C$10,8,"")</f>
        <v>8</v>
      </c>
      <c r="C72" s="205">
        <f t="shared" ca="1" si="0"/>
        <v>0.51304974753639931</v>
      </c>
      <c r="D72" s="204">
        <f t="shared" ca="1" si="1"/>
        <v>17</v>
      </c>
      <c r="E72" s="203" t="str">
        <f t="shared" ca="1" si="2"/>
        <v>Reserve</v>
      </c>
    </row>
    <row r="73" spans="2:5" x14ac:dyDescent="0.25">
      <c r="B73" s="204">
        <f>IF(9&lt;=$C$10,9,"")</f>
        <v>9</v>
      </c>
      <c r="C73" s="205">
        <f t="shared" ca="1" si="0"/>
        <v>0.99666902755009112</v>
      </c>
      <c r="D73" s="204">
        <f t="shared" ca="1" si="1"/>
        <v>25</v>
      </c>
      <c r="E73" s="203" t="str">
        <f t="shared" ca="1" si="2"/>
        <v>Reserve</v>
      </c>
    </row>
    <row r="74" spans="2:5" x14ac:dyDescent="0.25">
      <c r="B74" s="204">
        <f>IF(10&lt;=$C$10,10,"")</f>
        <v>10</v>
      </c>
      <c r="C74" s="205">
        <f t="shared" ca="1" si="0"/>
        <v>0.52959260347949955</v>
      </c>
      <c r="D74" s="204">
        <f t="shared" ca="1" si="1"/>
        <v>18</v>
      </c>
      <c r="E74" s="203" t="str">
        <f t="shared" ca="1" si="2"/>
        <v>Reserve</v>
      </c>
    </row>
    <row r="75" spans="2:5" x14ac:dyDescent="0.25">
      <c r="B75" s="204">
        <f>IF(11&lt;=$C$10,11,"")</f>
        <v>11</v>
      </c>
      <c r="C75" s="205">
        <f t="shared" ca="1" si="0"/>
        <v>0.48610548995230185</v>
      </c>
      <c r="D75" s="204">
        <f t="shared" ca="1" si="1"/>
        <v>15</v>
      </c>
      <c r="E75" s="203" t="str">
        <f t="shared" ca="1" si="2"/>
        <v>Reserve</v>
      </c>
    </row>
    <row r="76" spans="2:5" ht="25.5" x14ac:dyDescent="0.25">
      <c r="B76" s="204">
        <f>IF(12&lt;=$C$10,12,"")</f>
        <v>12</v>
      </c>
      <c r="C76" s="205">
        <f t="shared" ca="1" si="0"/>
        <v>0.33012149257771894</v>
      </c>
      <c r="D76" s="204">
        <f t="shared" ca="1" si="1"/>
        <v>7</v>
      </c>
      <c r="E76" s="203" t="str">
        <f t="shared" ca="1" si="2"/>
        <v>Selectionne - H-007</v>
      </c>
    </row>
    <row r="77" spans="2:5" ht="25.5" x14ac:dyDescent="0.25">
      <c r="B77" s="204">
        <f>IF(13&lt;=$C$10,13,"")</f>
        <v>13</v>
      </c>
      <c r="C77" s="205">
        <f t="shared" ca="1" si="0"/>
        <v>0.71077368396843055</v>
      </c>
      <c r="D77" s="204">
        <f t="shared" ca="1" si="1"/>
        <v>22</v>
      </c>
      <c r="E77" s="203" t="str">
        <f t="shared" ca="1" si="2"/>
        <v>Reserve</v>
      </c>
    </row>
    <row r="78" spans="2:5" x14ac:dyDescent="0.25">
      <c r="B78" s="204">
        <f>IF(14&lt;=$C$10,14,"")</f>
        <v>14</v>
      </c>
      <c r="C78" s="205">
        <f t="shared" ca="1" si="0"/>
        <v>0.58500878324572636</v>
      </c>
      <c r="D78" s="204">
        <f t="shared" ca="1" si="1"/>
        <v>19</v>
      </c>
      <c r="E78" s="203" t="str">
        <f t="shared" ca="1" si="2"/>
        <v>Reserve</v>
      </c>
    </row>
    <row r="79" spans="2:5" x14ac:dyDescent="0.25">
      <c r="B79" s="204">
        <f>IF(15&lt;=$C$10,15,"")</f>
        <v>15</v>
      </c>
      <c r="C79" s="205">
        <f t="shared" ca="1" si="0"/>
        <v>0.46835979413032913</v>
      </c>
      <c r="D79" s="204">
        <f t="shared" ca="1" si="1"/>
        <v>14</v>
      </c>
      <c r="E79" s="203" t="str">
        <f t="shared" ca="1" si="2"/>
        <v>Reserve</v>
      </c>
    </row>
    <row r="80" spans="2:5" ht="25.5" x14ac:dyDescent="0.25">
      <c r="B80" s="204">
        <f>IF(16&lt;=$C$10,16,"")</f>
        <v>16</v>
      </c>
      <c r="C80" s="205">
        <f t="shared" ca="1" si="0"/>
        <v>0.24052012674850642</v>
      </c>
      <c r="D80" s="204">
        <f t="shared" ca="1" si="1"/>
        <v>6</v>
      </c>
      <c r="E80" s="203" t="str">
        <f t="shared" ca="1" si="2"/>
        <v>Selectionne - H-006</v>
      </c>
    </row>
    <row r="81" spans="2:5" x14ac:dyDescent="0.25">
      <c r="B81" s="204">
        <f>IF(17&lt;=$C$10,17,"")</f>
        <v>17</v>
      </c>
      <c r="C81" s="205">
        <f t="shared" ca="1" si="0"/>
        <v>0.93986810877867943</v>
      </c>
      <c r="D81" s="204">
        <f t="shared" ca="1" si="1"/>
        <v>24</v>
      </c>
      <c r="E81" s="203" t="str">
        <f t="shared" ca="1" si="2"/>
        <v>Reserve</v>
      </c>
    </row>
    <row r="82" spans="2:5" ht="25.5" x14ac:dyDescent="0.25">
      <c r="B82" s="204">
        <f>IF(18&lt;=$C$10,18,"")</f>
        <v>18</v>
      </c>
      <c r="C82" s="205">
        <f t="shared" ca="1" si="0"/>
        <v>0.3382885169892812</v>
      </c>
      <c r="D82" s="204">
        <f t="shared" ca="1" si="1"/>
        <v>8</v>
      </c>
      <c r="E82" s="203" t="str">
        <f t="shared" ca="1" si="2"/>
        <v>Selectionne - H-008</v>
      </c>
    </row>
    <row r="83" spans="2:5" x14ac:dyDescent="0.25">
      <c r="B83" s="204">
        <f>IF(19&lt;=$C$10,19,"")</f>
        <v>19</v>
      </c>
      <c r="C83" s="205">
        <f t="shared" ca="1" si="0"/>
        <v>0.15103427743246134</v>
      </c>
      <c r="D83" s="204">
        <f t="shared" ca="1" si="1"/>
        <v>3</v>
      </c>
      <c r="E83" s="203" t="str">
        <f t="shared" ca="1" si="2"/>
        <v>Selectionne - H-003</v>
      </c>
    </row>
    <row r="84" spans="2:5" x14ac:dyDescent="0.25">
      <c r="B84" s="204">
        <f>IF(20&lt;=$C$10,20,"")</f>
        <v>20</v>
      </c>
      <c r="C84" s="205">
        <f t="shared" ca="1" si="0"/>
        <v>0.51108357733732057</v>
      </c>
      <c r="D84" s="204">
        <f t="shared" ca="1" si="1"/>
        <v>16</v>
      </c>
      <c r="E84" s="203" t="str">
        <f t="shared" ca="1" si="2"/>
        <v>Reserve</v>
      </c>
    </row>
    <row r="85" spans="2:5" ht="25.5" x14ac:dyDescent="0.25">
      <c r="B85" s="204">
        <f>IF(21&lt;=$C$10,21,"")</f>
        <v>21</v>
      </c>
      <c r="C85" s="205">
        <f t="shared" ca="1" si="0"/>
        <v>0.461390950996865</v>
      </c>
      <c r="D85" s="204">
        <f t="shared" ca="1" si="1"/>
        <v>13</v>
      </c>
      <c r="E85" s="203" t="str">
        <f t="shared" ca="1" si="2"/>
        <v>Reserve</v>
      </c>
    </row>
    <row r="86" spans="2:5" ht="25.5" x14ac:dyDescent="0.25">
      <c r="B86" s="204">
        <f>IF(22&lt;=$C$10,22,"")</f>
        <v>22</v>
      </c>
      <c r="C86" s="205">
        <f t="shared" ca="1" si="0"/>
        <v>0.81627141137843029</v>
      </c>
      <c r="D86" s="204">
        <f t="shared" ca="1" si="1"/>
        <v>23</v>
      </c>
      <c r="E86" s="203" t="str">
        <f t="shared" ca="1" si="2"/>
        <v>Reserve</v>
      </c>
    </row>
    <row r="87" spans="2:5" x14ac:dyDescent="0.25">
      <c r="B87" s="204">
        <f>IF(23&lt;=$C$10,23,"")</f>
        <v>23</v>
      </c>
      <c r="C87" s="205">
        <f t="shared" ca="1" si="0"/>
        <v>0.71075909413152494</v>
      </c>
      <c r="D87" s="204">
        <f t="shared" ca="1" si="1"/>
        <v>21</v>
      </c>
      <c r="E87" s="203" t="str">
        <f t="shared" ca="1" si="2"/>
        <v>Reserve</v>
      </c>
    </row>
    <row r="88" spans="2:5" x14ac:dyDescent="0.25">
      <c r="B88" s="204">
        <f>IF(24&lt;=$C$10,24,"")</f>
        <v>24</v>
      </c>
      <c r="C88" s="205">
        <f t="shared" ca="1" si="0"/>
        <v>0.40697660834255023</v>
      </c>
      <c r="D88" s="204">
        <f t="shared" ca="1" si="1"/>
        <v>12</v>
      </c>
      <c r="E88" s="203" t="str">
        <f t="shared" ca="1" si="2"/>
        <v>Selectionne - STE-002</v>
      </c>
    </row>
    <row r="89" spans="2:5" x14ac:dyDescent="0.25">
      <c r="B89" s="204">
        <f>IF(25&lt;=$C$10,25,"")</f>
        <v>25</v>
      </c>
      <c r="C89" s="205">
        <f t="shared" ca="1" si="0"/>
        <v>0.3995014153042703</v>
      </c>
      <c r="D89" s="204">
        <f t="shared" ca="1" si="1"/>
        <v>11</v>
      </c>
      <c r="E89" s="203" t="str">
        <f t="shared" ca="1" si="2"/>
        <v>Selectionne - ST-001</v>
      </c>
    </row>
    <row r="90" spans="2:5" x14ac:dyDescent="0.25">
      <c r="B90" s="204" t="str">
        <f>IF(26&lt;=$C$10,26,"")</f>
        <v/>
      </c>
      <c r="C90" s="205" t="str">
        <f t="shared" ca="1" si="0"/>
        <v/>
      </c>
      <c r="D90" s="204" t="str">
        <f t="shared" si="1"/>
        <v/>
      </c>
      <c r="E90" s="203" t="str">
        <f t="shared" si="2"/>
        <v/>
      </c>
    </row>
    <row r="91" spans="2:5" x14ac:dyDescent="0.25">
      <c r="B91" s="204" t="str">
        <f>IF(27&lt;=$C$10,27,"")</f>
        <v/>
      </c>
      <c r="C91" s="205" t="str">
        <f t="shared" ca="1" si="0"/>
        <v/>
      </c>
      <c r="D91" s="204" t="str">
        <f t="shared" si="1"/>
        <v/>
      </c>
      <c r="E91" s="203" t="str">
        <f t="shared" si="2"/>
        <v/>
      </c>
    </row>
    <row r="92" spans="2:5" x14ac:dyDescent="0.25">
      <c r="B92" s="204" t="str">
        <f>IF(28&lt;=$C$10,28,"")</f>
        <v/>
      </c>
      <c r="C92" s="205" t="str">
        <f t="shared" ca="1" si="0"/>
        <v/>
      </c>
      <c r="D92" s="204" t="str">
        <f t="shared" si="1"/>
        <v/>
      </c>
      <c r="E92" s="203" t="str">
        <f t="shared" si="2"/>
        <v/>
      </c>
    </row>
    <row r="93" spans="2:5" x14ac:dyDescent="0.25">
      <c r="B93" s="204" t="str">
        <f>IF(29&lt;=$C$10,29,"")</f>
        <v/>
      </c>
      <c r="C93" s="205" t="str">
        <f t="shared" ca="1" si="0"/>
        <v/>
      </c>
      <c r="D93" s="204" t="str">
        <f t="shared" si="1"/>
        <v/>
      </c>
      <c r="E93" s="203" t="str">
        <f t="shared" si="2"/>
        <v/>
      </c>
    </row>
    <row r="94" spans="2:5" x14ac:dyDescent="0.25">
      <c r="B94" s="204" t="str">
        <f>IF(30&lt;=$C$10,30,"")</f>
        <v/>
      </c>
      <c r="C94" s="205" t="str">
        <f t="shared" ca="1" si="0"/>
        <v/>
      </c>
      <c r="D94" s="204" t="str">
        <f t="shared" si="1"/>
        <v/>
      </c>
      <c r="E94" s="203" t="str">
        <f t="shared" si="2"/>
        <v/>
      </c>
    </row>
    <row r="95" spans="2:5" x14ac:dyDescent="0.25">
      <c r="B95" s="204" t="str">
        <f>IF(31&lt;=$C$10,31,"")</f>
        <v/>
      </c>
      <c r="C95" s="205" t="str">
        <f t="shared" ca="1" si="0"/>
        <v/>
      </c>
      <c r="D95" s="204" t="str">
        <f t="shared" si="1"/>
        <v/>
      </c>
      <c r="E95" s="203" t="str">
        <f t="shared" si="2"/>
        <v/>
      </c>
    </row>
    <row r="96" spans="2:5" x14ac:dyDescent="0.25">
      <c r="B96" s="204" t="str">
        <f>IF(32&lt;=$C$10,32,"")</f>
        <v/>
      </c>
      <c r="C96" s="205" t="str">
        <f t="shared" ca="1" si="0"/>
        <v/>
      </c>
      <c r="D96" s="204" t="str">
        <f t="shared" si="1"/>
        <v/>
      </c>
      <c r="E96" s="203" t="str">
        <f t="shared" si="2"/>
        <v/>
      </c>
    </row>
    <row r="97" spans="2:5" x14ac:dyDescent="0.25">
      <c r="B97" s="204" t="str">
        <f>IF(33&lt;=$C$10,33,"")</f>
        <v/>
      </c>
      <c r="C97" s="205" t="str">
        <f t="shared" ref="C97:C128" ca="1" si="3">IF(B97="","",RAND())</f>
        <v/>
      </c>
      <c r="D97" s="204" t="str">
        <f t="shared" ref="D97:D128" si="4">IF(B97="","",RANK(C97,$C$65:$C$264,1))</f>
        <v/>
      </c>
      <c r="E97" s="203" t="str">
        <f t="shared" ref="E97:E128" si="5">IF(B97="","",IF(D97&lt;=$C$11,"Selectionne - "&amp;INDEX($B$15:$U$15,D97),"Reserve"))</f>
        <v/>
      </c>
    </row>
    <row r="98" spans="2:5" x14ac:dyDescent="0.25">
      <c r="B98" s="204" t="str">
        <f>IF(34&lt;=$C$10,34,"")</f>
        <v/>
      </c>
      <c r="C98" s="205" t="str">
        <f t="shared" ca="1" si="3"/>
        <v/>
      </c>
      <c r="D98" s="204" t="str">
        <f t="shared" si="4"/>
        <v/>
      </c>
      <c r="E98" s="203" t="str">
        <f t="shared" si="5"/>
        <v/>
      </c>
    </row>
    <row r="99" spans="2:5" x14ac:dyDescent="0.25">
      <c r="B99" s="204" t="str">
        <f>IF(35&lt;=$C$10,35,"")</f>
        <v/>
      </c>
      <c r="C99" s="205" t="str">
        <f t="shared" ca="1" si="3"/>
        <v/>
      </c>
      <c r="D99" s="204" t="str">
        <f t="shared" si="4"/>
        <v/>
      </c>
      <c r="E99" s="203" t="str">
        <f t="shared" si="5"/>
        <v/>
      </c>
    </row>
    <row r="100" spans="2:5" x14ac:dyDescent="0.25">
      <c r="B100" s="204" t="str">
        <f>IF(36&lt;=$C$10,36,"")</f>
        <v/>
      </c>
      <c r="C100" s="205" t="str">
        <f t="shared" ca="1" si="3"/>
        <v/>
      </c>
      <c r="D100" s="204" t="str">
        <f t="shared" si="4"/>
        <v/>
      </c>
      <c r="E100" s="203" t="str">
        <f t="shared" si="5"/>
        <v/>
      </c>
    </row>
    <row r="101" spans="2:5" x14ac:dyDescent="0.25">
      <c r="B101" s="204" t="str">
        <f>IF(37&lt;=$C$10,37,"")</f>
        <v/>
      </c>
      <c r="C101" s="205" t="str">
        <f t="shared" ca="1" si="3"/>
        <v/>
      </c>
      <c r="D101" s="204" t="str">
        <f t="shared" si="4"/>
        <v/>
      </c>
      <c r="E101" s="203" t="str">
        <f t="shared" si="5"/>
        <v/>
      </c>
    </row>
    <row r="102" spans="2:5" x14ac:dyDescent="0.25">
      <c r="B102" s="204" t="str">
        <f>IF(38&lt;=$C$10,38,"")</f>
        <v/>
      </c>
      <c r="C102" s="205" t="str">
        <f t="shared" ca="1" si="3"/>
        <v/>
      </c>
      <c r="D102" s="204" t="str">
        <f t="shared" si="4"/>
        <v/>
      </c>
      <c r="E102" s="203" t="str">
        <f t="shared" si="5"/>
        <v/>
      </c>
    </row>
    <row r="103" spans="2:5" x14ac:dyDescent="0.25">
      <c r="B103" s="204" t="str">
        <f>IF(39&lt;=$C$10,39,"")</f>
        <v/>
      </c>
      <c r="C103" s="205" t="str">
        <f t="shared" ca="1" si="3"/>
        <v/>
      </c>
      <c r="D103" s="204" t="str">
        <f t="shared" si="4"/>
        <v/>
      </c>
      <c r="E103" s="203" t="str">
        <f t="shared" si="5"/>
        <v/>
      </c>
    </row>
    <row r="104" spans="2:5" x14ac:dyDescent="0.25">
      <c r="B104" s="204" t="str">
        <f>IF(40&lt;=$C$10,40,"")</f>
        <v/>
      </c>
      <c r="C104" s="205" t="str">
        <f t="shared" ca="1" si="3"/>
        <v/>
      </c>
      <c r="D104" s="204" t="str">
        <f t="shared" si="4"/>
        <v/>
      </c>
      <c r="E104" s="203" t="str">
        <f t="shared" si="5"/>
        <v/>
      </c>
    </row>
    <row r="105" spans="2:5" x14ac:dyDescent="0.25">
      <c r="B105" s="204" t="str">
        <f>IF(41&lt;=$C$10,41,"")</f>
        <v/>
      </c>
      <c r="C105" s="205" t="str">
        <f t="shared" ca="1" si="3"/>
        <v/>
      </c>
      <c r="D105" s="204" t="str">
        <f t="shared" si="4"/>
        <v/>
      </c>
      <c r="E105" s="203" t="str">
        <f t="shared" si="5"/>
        <v/>
      </c>
    </row>
    <row r="106" spans="2:5" x14ac:dyDescent="0.25">
      <c r="B106" s="204" t="str">
        <f>IF(42&lt;=$C$10,42,"")</f>
        <v/>
      </c>
      <c r="C106" s="205" t="str">
        <f t="shared" ca="1" si="3"/>
        <v/>
      </c>
      <c r="D106" s="204" t="str">
        <f t="shared" si="4"/>
        <v/>
      </c>
      <c r="E106" s="203" t="str">
        <f t="shared" si="5"/>
        <v/>
      </c>
    </row>
    <row r="107" spans="2:5" x14ac:dyDescent="0.25">
      <c r="B107" s="204" t="str">
        <f>IF(43&lt;=$C$10,43,"")</f>
        <v/>
      </c>
      <c r="C107" s="205" t="str">
        <f t="shared" ca="1" si="3"/>
        <v/>
      </c>
      <c r="D107" s="204" t="str">
        <f t="shared" si="4"/>
        <v/>
      </c>
      <c r="E107" s="203" t="str">
        <f t="shared" si="5"/>
        <v/>
      </c>
    </row>
    <row r="108" spans="2:5" x14ac:dyDescent="0.25">
      <c r="B108" s="204" t="str">
        <f>IF(44&lt;=$C$10,44,"")</f>
        <v/>
      </c>
      <c r="C108" s="205" t="str">
        <f t="shared" ca="1" si="3"/>
        <v/>
      </c>
      <c r="D108" s="204" t="str">
        <f t="shared" si="4"/>
        <v/>
      </c>
      <c r="E108" s="203" t="str">
        <f t="shared" si="5"/>
        <v/>
      </c>
    </row>
    <row r="109" spans="2:5" x14ac:dyDescent="0.25">
      <c r="B109" s="204" t="str">
        <f>IF(45&lt;=$C$10,45,"")</f>
        <v/>
      </c>
      <c r="C109" s="205" t="str">
        <f t="shared" ca="1" si="3"/>
        <v/>
      </c>
      <c r="D109" s="204" t="str">
        <f t="shared" si="4"/>
        <v/>
      </c>
      <c r="E109" s="203" t="str">
        <f t="shared" si="5"/>
        <v/>
      </c>
    </row>
    <row r="110" spans="2:5" x14ac:dyDescent="0.25">
      <c r="B110" s="204" t="str">
        <f>IF(46&lt;=$C$10,46,"")</f>
        <v/>
      </c>
      <c r="C110" s="205" t="str">
        <f t="shared" ca="1" si="3"/>
        <v/>
      </c>
      <c r="D110" s="204" t="str">
        <f t="shared" si="4"/>
        <v/>
      </c>
      <c r="E110" s="203" t="str">
        <f t="shared" si="5"/>
        <v/>
      </c>
    </row>
    <row r="111" spans="2:5" x14ac:dyDescent="0.25">
      <c r="B111" s="204" t="str">
        <f>IF(47&lt;=$C$10,47,"")</f>
        <v/>
      </c>
      <c r="C111" s="205" t="str">
        <f t="shared" ca="1" si="3"/>
        <v/>
      </c>
      <c r="D111" s="204" t="str">
        <f t="shared" si="4"/>
        <v/>
      </c>
      <c r="E111" s="203" t="str">
        <f t="shared" si="5"/>
        <v/>
      </c>
    </row>
    <row r="112" spans="2:5" x14ac:dyDescent="0.25">
      <c r="B112" s="204" t="str">
        <f>IF(48&lt;=$C$10,48,"")</f>
        <v/>
      </c>
      <c r="C112" s="205" t="str">
        <f t="shared" ca="1" si="3"/>
        <v/>
      </c>
      <c r="D112" s="204" t="str">
        <f t="shared" si="4"/>
        <v/>
      </c>
      <c r="E112" s="203" t="str">
        <f t="shared" si="5"/>
        <v/>
      </c>
    </row>
    <row r="113" spans="2:5" x14ac:dyDescent="0.25">
      <c r="B113" s="204" t="str">
        <f>IF(49&lt;=$C$10,49,"")</f>
        <v/>
      </c>
      <c r="C113" s="205" t="str">
        <f t="shared" ca="1" si="3"/>
        <v/>
      </c>
      <c r="D113" s="204" t="str">
        <f t="shared" si="4"/>
        <v/>
      </c>
      <c r="E113" s="203" t="str">
        <f t="shared" si="5"/>
        <v/>
      </c>
    </row>
    <row r="114" spans="2:5" x14ac:dyDescent="0.25">
      <c r="B114" s="204" t="str">
        <f>IF(50&lt;=$C$10,50,"")</f>
        <v/>
      </c>
      <c r="C114" s="205" t="str">
        <f t="shared" ca="1" si="3"/>
        <v/>
      </c>
      <c r="D114" s="204" t="str">
        <f t="shared" si="4"/>
        <v/>
      </c>
      <c r="E114" s="203" t="str">
        <f t="shared" si="5"/>
        <v/>
      </c>
    </row>
    <row r="115" spans="2:5" x14ac:dyDescent="0.25">
      <c r="B115" s="204" t="str">
        <f>IF(51&lt;=$C$10,51,"")</f>
        <v/>
      </c>
      <c r="C115" s="205" t="str">
        <f t="shared" ca="1" si="3"/>
        <v/>
      </c>
      <c r="D115" s="204" t="str">
        <f t="shared" si="4"/>
        <v/>
      </c>
      <c r="E115" s="203" t="str">
        <f t="shared" si="5"/>
        <v/>
      </c>
    </row>
    <row r="116" spans="2:5" x14ac:dyDescent="0.25">
      <c r="B116" s="204" t="str">
        <f>IF(52&lt;=$C$10,52,"")</f>
        <v/>
      </c>
      <c r="C116" s="205" t="str">
        <f t="shared" ca="1" si="3"/>
        <v/>
      </c>
      <c r="D116" s="204" t="str">
        <f t="shared" si="4"/>
        <v/>
      </c>
      <c r="E116" s="203" t="str">
        <f t="shared" si="5"/>
        <v/>
      </c>
    </row>
    <row r="117" spans="2:5" x14ac:dyDescent="0.25">
      <c r="B117" s="204" t="str">
        <f>IF(53&lt;=$C$10,53,"")</f>
        <v/>
      </c>
      <c r="C117" s="205" t="str">
        <f t="shared" ca="1" si="3"/>
        <v/>
      </c>
      <c r="D117" s="204" t="str">
        <f t="shared" si="4"/>
        <v/>
      </c>
      <c r="E117" s="203" t="str">
        <f t="shared" si="5"/>
        <v/>
      </c>
    </row>
    <row r="118" spans="2:5" x14ac:dyDescent="0.25">
      <c r="B118" s="204" t="str">
        <f>IF(54&lt;=$C$10,54,"")</f>
        <v/>
      </c>
      <c r="C118" s="205" t="str">
        <f t="shared" ca="1" si="3"/>
        <v/>
      </c>
      <c r="D118" s="204" t="str">
        <f t="shared" si="4"/>
        <v/>
      </c>
      <c r="E118" s="203" t="str">
        <f t="shared" si="5"/>
        <v/>
      </c>
    </row>
    <row r="119" spans="2:5" x14ac:dyDescent="0.25">
      <c r="B119" s="204" t="str">
        <f>IF(55&lt;=$C$10,55,"")</f>
        <v/>
      </c>
      <c r="C119" s="205" t="str">
        <f t="shared" ca="1" si="3"/>
        <v/>
      </c>
      <c r="D119" s="204" t="str">
        <f t="shared" si="4"/>
        <v/>
      </c>
      <c r="E119" s="203" t="str">
        <f t="shared" si="5"/>
        <v/>
      </c>
    </row>
    <row r="120" spans="2:5" x14ac:dyDescent="0.25">
      <c r="B120" s="204" t="str">
        <f>IF(56&lt;=$C$10,56,"")</f>
        <v/>
      </c>
      <c r="C120" s="205" t="str">
        <f t="shared" ca="1" si="3"/>
        <v/>
      </c>
      <c r="D120" s="204" t="str">
        <f t="shared" si="4"/>
        <v/>
      </c>
      <c r="E120" s="203" t="str">
        <f t="shared" si="5"/>
        <v/>
      </c>
    </row>
    <row r="121" spans="2:5" x14ac:dyDescent="0.25">
      <c r="B121" s="204" t="str">
        <f>IF(57&lt;=$C$10,57,"")</f>
        <v/>
      </c>
      <c r="C121" s="205" t="str">
        <f t="shared" ca="1" si="3"/>
        <v/>
      </c>
      <c r="D121" s="204" t="str">
        <f t="shared" si="4"/>
        <v/>
      </c>
      <c r="E121" s="203" t="str">
        <f t="shared" si="5"/>
        <v/>
      </c>
    </row>
    <row r="122" spans="2:5" x14ac:dyDescent="0.25">
      <c r="B122" s="204" t="str">
        <f>IF(58&lt;=$C$10,58,"")</f>
        <v/>
      </c>
      <c r="C122" s="205" t="str">
        <f t="shared" ca="1" si="3"/>
        <v/>
      </c>
      <c r="D122" s="204" t="str">
        <f t="shared" si="4"/>
        <v/>
      </c>
      <c r="E122" s="203" t="str">
        <f t="shared" si="5"/>
        <v/>
      </c>
    </row>
    <row r="123" spans="2:5" x14ac:dyDescent="0.25">
      <c r="B123" s="204" t="str">
        <f>IF(59&lt;=$C$10,59,"")</f>
        <v/>
      </c>
      <c r="C123" s="205" t="str">
        <f t="shared" ca="1" si="3"/>
        <v/>
      </c>
      <c r="D123" s="204" t="str">
        <f t="shared" si="4"/>
        <v/>
      </c>
      <c r="E123" s="203" t="str">
        <f t="shared" si="5"/>
        <v/>
      </c>
    </row>
    <row r="124" spans="2:5" x14ac:dyDescent="0.25">
      <c r="B124" s="204" t="str">
        <f>IF(60&lt;=$C$10,60,"")</f>
        <v/>
      </c>
      <c r="C124" s="205" t="str">
        <f t="shared" ca="1" si="3"/>
        <v/>
      </c>
      <c r="D124" s="204" t="str">
        <f t="shared" si="4"/>
        <v/>
      </c>
      <c r="E124" s="203" t="str">
        <f t="shared" si="5"/>
        <v/>
      </c>
    </row>
    <row r="125" spans="2:5" x14ac:dyDescent="0.25">
      <c r="B125" s="204" t="str">
        <f>IF(61&lt;=$C$10,61,"")</f>
        <v/>
      </c>
      <c r="C125" s="205" t="str">
        <f t="shared" ca="1" si="3"/>
        <v/>
      </c>
      <c r="D125" s="204" t="str">
        <f t="shared" si="4"/>
        <v/>
      </c>
      <c r="E125" s="203" t="str">
        <f t="shared" si="5"/>
        <v/>
      </c>
    </row>
    <row r="126" spans="2:5" x14ac:dyDescent="0.25">
      <c r="B126" s="204" t="str">
        <f>IF(62&lt;=$C$10,62,"")</f>
        <v/>
      </c>
      <c r="C126" s="205" t="str">
        <f t="shared" ca="1" si="3"/>
        <v/>
      </c>
      <c r="D126" s="204" t="str">
        <f t="shared" si="4"/>
        <v/>
      </c>
      <c r="E126" s="203" t="str">
        <f t="shared" si="5"/>
        <v/>
      </c>
    </row>
    <row r="127" spans="2:5" x14ac:dyDescent="0.25">
      <c r="B127" s="204" t="str">
        <f>IF(63&lt;=$C$10,63,"")</f>
        <v/>
      </c>
      <c r="C127" s="205" t="str">
        <f t="shared" ca="1" si="3"/>
        <v/>
      </c>
      <c r="D127" s="204" t="str">
        <f t="shared" si="4"/>
        <v/>
      </c>
      <c r="E127" s="203" t="str">
        <f t="shared" si="5"/>
        <v/>
      </c>
    </row>
    <row r="128" spans="2:5" x14ac:dyDescent="0.25">
      <c r="B128" s="204" t="str">
        <f>IF(64&lt;=$C$10,64,"")</f>
        <v/>
      </c>
      <c r="C128" s="205" t="str">
        <f t="shared" ca="1" si="3"/>
        <v/>
      </c>
      <c r="D128" s="204" t="str">
        <f t="shared" si="4"/>
        <v/>
      </c>
      <c r="E128" s="203" t="str">
        <f t="shared" si="5"/>
        <v/>
      </c>
    </row>
    <row r="129" spans="2:5" x14ac:dyDescent="0.25">
      <c r="B129" s="204" t="str">
        <f>IF(65&lt;=$C$10,65,"")</f>
        <v/>
      </c>
      <c r="C129" s="205" t="str">
        <f t="shared" ref="C129:C160" ca="1" si="6">IF(B129="","",RAND())</f>
        <v/>
      </c>
      <c r="D129" s="204" t="str">
        <f t="shared" ref="D129:D160" si="7">IF(B129="","",RANK(C129,$C$65:$C$264,1))</f>
        <v/>
      </c>
      <c r="E129" s="203" t="str">
        <f t="shared" ref="E129:E160" si="8">IF(B129="","",IF(D129&lt;=$C$11,"Selectionne - "&amp;INDEX($B$15:$U$15,D129),"Reserve"))</f>
        <v/>
      </c>
    </row>
    <row r="130" spans="2:5" x14ac:dyDescent="0.25">
      <c r="B130" s="204" t="str">
        <f>IF(66&lt;=$C$10,66,"")</f>
        <v/>
      </c>
      <c r="C130" s="205" t="str">
        <f t="shared" ca="1" si="6"/>
        <v/>
      </c>
      <c r="D130" s="204" t="str">
        <f t="shared" si="7"/>
        <v/>
      </c>
      <c r="E130" s="203" t="str">
        <f t="shared" si="8"/>
        <v/>
      </c>
    </row>
    <row r="131" spans="2:5" x14ac:dyDescent="0.25">
      <c r="B131" s="204" t="str">
        <f>IF(67&lt;=$C$10,67,"")</f>
        <v/>
      </c>
      <c r="C131" s="205" t="str">
        <f t="shared" ca="1" si="6"/>
        <v/>
      </c>
      <c r="D131" s="204" t="str">
        <f t="shared" si="7"/>
        <v/>
      </c>
      <c r="E131" s="203" t="str">
        <f t="shared" si="8"/>
        <v/>
      </c>
    </row>
    <row r="132" spans="2:5" x14ac:dyDescent="0.25">
      <c r="B132" s="204" t="str">
        <f>IF(68&lt;=$C$10,68,"")</f>
        <v/>
      </c>
      <c r="C132" s="205" t="str">
        <f t="shared" ca="1" si="6"/>
        <v/>
      </c>
      <c r="D132" s="204" t="str">
        <f t="shared" si="7"/>
        <v/>
      </c>
      <c r="E132" s="203" t="str">
        <f t="shared" si="8"/>
        <v/>
      </c>
    </row>
    <row r="133" spans="2:5" x14ac:dyDescent="0.25">
      <c r="B133" s="204" t="str">
        <f>IF(69&lt;=$C$10,69,"")</f>
        <v/>
      </c>
      <c r="C133" s="205" t="str">
        <f t="shared" ca="1" si="6"/>
        <v/>
      </c>
      <c r="D133" s="204" t="str">
        <f t="shared" si="7"/>
        <v/>
      </c>
      <c r="E133" s="203" t="str">
        <f t="shared" si="8"/>
        <v/>
      </c>
    </row>
    <row r="134" spans="2:5" x14ac:dyDescent="0.25">
      <c r="B134" s="204" t="str">
        <f>IF(70&lt;=$C$10,70,"")</f>
        <v/>
      </c>
      <c r="C134" s="205" t="str">
        <f t="shared" ca="1" si="6"/>
        <v/>
      </c>
      <c r="D134" s="204" t="str">
        <f t="shared" si="7"/>
        <v/>
      </c>
      <c r="E134" s="203" t="str">
        <f t="shared" si="8"/>
        <v/>
      </c>
    </row>
    <row r="135" spans="2:5" x14ac:dyDescent="0.25">
      <c r="B135" s="204" t="str">
        <f>IF(71&lt;=$C$10,71,"")</f>
        <v/>
      </c>
      <c r="C135" s="205" t="str">
        <f t="shared" ca="1" si="6"/>
        <v/>
      </c>
      <c r="D135" s="204" t="str">
        <f t="shared" si="7"/>
        <v/>
      </c>
      <c r="E135" s="203" t="str">
        <f t="shared" si="8"/>
        <v/>
      </c>
    </row>
    <row r="136" spans="2:5" x14ac:dyDescent="0.25">
      <c r="B136" s="204" t="str">
        <f>IF(72&lt;=$C$10,72,"")</f>
        <v/>
      </c>
      <c r="C136" s="205" t="str">
        <f t="shared" ca="1" si="6"/>
        <v/>
      </c>
      <c r="D136" s="204" t="str">
        <f t="shared" si="7"/>
        <v/>
      </c>
      <c r="E136" s="203" t="str">
        <f t="shared" si="8"/>
        <v/>
      </c>
    </row>
    <row r="137" spans="2:5" x14ac:dyDescent="0.25">
      <c r="B137" s="204" t="str">
        <f>IF(73&lt;=$C$10,73,"")</f>
        <v/>
      </c>
      <c r="C137" s="205" t="str">
        <f t="shared" ca="1" si="6"/>
        <v/>
      </c>
      <c r="D137" s="204" t="str">
        <f t="shared" si="7"/>
        <v/>
      </c>
      <c r="E137" s="203" t="str">
        <f t="shared" si="8"/>
        <v/>
      </c>
    </row>
    <row r="138" spans="2:5" x14ac:dyDescent="0.25">
      <c r="B138" s="204" t="str">
        <f>IF(74&lt;=$C$10,74,"")</f>
        <v/>
      </c>
      <c r="C138" s="205" t="str">
        <f t="shared" ca="1" si="6"/>
        <v/>
      </c>
      <c r="D138" s="204" t="str">
        <f t="shared" si="7"/>
        <v/>
      </c>
      <c r="E138" s="203" t="str">
        <f t="shared" si="8"/>
        <v/>
      </c>
    </row>
    <row r="139" spans="2:5" x14ac:dyDescent="0.25">
      <c r="B139" s="204" t="str">
        <f>IF(75&lt;=$C$10,75,"")</f>
        <v/>
      </c>
      <c r="C139" s="205" t="str">
        <f t="shared" ca="1" si="6"/>
        <v/>
      </c>
      <c r="D139" s="204" t="str">
        <f t="shared" si="7"/>
        <v/>
      </c>
      <c r="E139" s="203" t="str">
        <f t="shared" si="8"/>
        <v/>
      </c>
    </row>
    <row r="140" spans="2:5" x14ac:dyDescent="0.25">
      <c r="B140" s="204" t="str">
        <f>IF(76&lt;=$C$10,76,"")</f>
        <v/>
      </c>
      <c r="C140" s="205" t="str">
        <f t="shared" ca="1" si="6"/>
        <v/>
      </c>
      <c r="D140" s="204" t="str">
        <f t="shared" si="7"/>
        <v/>
      </c>
      <c r="E140" s="203" t="str">
        <f t="shared" si="8"/>
        <v/>
      </c>
    </row>
    <row r="141" spans="2:5" x14ac:dyDescent="0.25">
      <c r="B141" s="204" t="str">
        <f>IF(77&lt;=$C$10,77,"")</f>
        <v/>
      </c>
      <c r="C141" s="205" t="str">
        <f t="shared" ca="1" si="6"/>
        <v/>
      </c>
      <c r="D141" s="204" t="str">
        <f t="shared" si="7"/>
        <v/>
      </c>
      <c r="E141" s="203" t="str">
        <f t="shared" si="8"/>
        <v/>
      </c>
    </row>
    <row r="142" spans="2:5" x14ac:dyDescent="0.25">
      <c r="B142" s="204" t="str">
        <f>IF(78&lt;=$C$10,78,"")</f>
        <v/>
      </c>
      <c r="C142" s="205" t="str">
        <f t="shared" ca="1" si="6"/>
        <v/>
      </c>
      <c r="D142" s="204" t="str">
        <f t="shared" si="7"/>
        <v/>
      </c>
      <c r="E142" s="203" t="str">
        <f t="shared" si="8"/>
        <v/>
      </c>
    </row>
    <row r="143" spans="2:5" x14ac:dyDescent="0.25">
      <c r="B143" s="204" t="str">
        <f>IF(79&lt;=$C$10,79,"")</f>
        <v/>
      </c>
      <c r="C143" s="205" t="str">
        <f t="shared" ca="1" si="6"/>
        <v/>
      </c>
      <c r="D143" s="204" t="str">
        <f t="shared" si="7"/>
        <v/>
      </c>
      <c r="E143" s="203" t="str">
        <f t="shared" si="8"/>
        <v/>
      </c>
    </row>
    <row r="144" spans="2:5" x14ac:dyDescent="0.25">
      <c r="B144" s="204" t="str">
        <f>IF(80&lt;=$C$10,80,"")</f>
        <v/>
      </c>
      <c r="C144" s="205" t="str">
        <f t="shared" ca="1" si="6"/>
        <v/>
      </c>
      <c r="D144" s="204" t="str">
        <f t="shared" si="7"/>
        <v/>
      </c>
      <c r="E144" s="203" t="str">
        <f t="shared" si="8"/>
        <v/>
      </c>
    </row>
    <row r="145" spans="2:5" x14ac:dyDescent="0.25">
      <c r="B145" s="204" t="str">
        <f>IF(81&lt;=$C$10,81,"")</f>
        <v/>
      </c>
      <c r="C145" s="205" t="str">
        <f t="shared" ca="1" si="6"/>
        <v/>
      </c>
      <c r="D145" s="204" t="str">
        <f t="shared" si="7"/>
        <v/>
      </c>
      <c r="E145" s="203" t="str">
        <f t="shared" si="8"/>
        <v/>
      </c>
    </row>
    <row r="146" spans="2:5" x14ac:dyDescent="0.25">
      <c r="B146" s="204" t="str">
        <f>IF(82&lt;=$C$10,82,"")</f>
        <v/>
      </c>
      <c r="C146" s="205" t="str">
        <f t="shared" ca="1" si="6"/>
        <v/>
      </c>
      <c r="D146" s="204" t="str">
        <f t="shared" si="7"/>
        <v/>
      </c>
      <c r="E146" s="203" t="str">
        <f t="shared" si="8"/>
        <v/>
      </c>
    </row>
    <row r="147" spans="2:5" x14ac:dyDescent="0.25">
      <c r="B147" s="204" t="str">
        <f>IF(83&lt;=$C$10,83,"")</f>
        <v/>
      </c>
      <c r="C147" s="205" t="str">
        <f t="shared" ca="1" si="6"/>
        <v/>
      </c>
      <c r="D147" s="204" t="str">
        <f t="shared" si="7"/>
        <v/>
      </c>
      <c r="E147" s="203" t="str">
        <f t="shared" si="8"/>
        <v/>
      </c>
    </row>
    <row r="148" spans="2:5" x14ac:dyDescent="0.25">
      <c r="B148" s="204" t="str">
        <f>IF(84&lt;=$C$10,84,"")</f>
        <v/>
      </c>
      <c r="C148" s="205" t="str">
        <f t="shared" ca="1" si="6"/>
        <v/>
      </c>
      <c r="D148" s="204" t="str">
        <f t="shared" si="7"/>
        <v/>
      </c>
      <c r="E148" s="203" t="str">
        <f t="shared" si="8"/>
        <v/>
      </c>
    </row>
    <row r="149" spans="2:5" x14ac:dyDescent="0.25">
      <c r="B149" s="204" t="str">
        <f>IF(85&lt;=$C$10,85,"")</f>
        <v/>
      </c>
      <c r="C149" s="205" t="str">
        <f t="shared" ca="1" si="6"/>
        <v/>
      </c>
      <c r="D149" s="204" t="str">
        <f t="shared" si="7"/>
        <v/>
      </c>
      <c r="E149" s="203" t="str">
        <f t="shared" si="8"/>
        <v/>
      </c>
    </row>
    <row r="150" spans="2:5" x14ac:dyDescent="0.25">
      <c r="B150" s="204" t="str">
        <f>IF(86&lt;=$C$10,86,"")</f>
        <v/>
      </c>
      <c r="C150" s="205" t="str">
        <f t="shared" ca="1" si="6"/>
        <v/>
      </c>
      <c r="D150" s="204" t="str">
        <f t="shared" si="7"/>
        <v/>
      </c>
      <c r="E150" s="203" t="str">
        <f t="shared" si="8"/>
        <v/>
      </c>
    </row>
    <row r="151" spans="2:5" x14ac:dyDescent="0.25">
      <c r="B151" s="204" t="str">
        <f>IF(87&lt;=$C$10,87,"")</f>
        <v/>
      </c>
      <c r="C151" s="205" t="str">
        <f t="shared" ca="1" si="6"/>
        <v/>
      </c>
      <c r="D151" s="204" t="str">
        <f t="shared" si="7"/>
        <v/>
      </c>
      <c r="E151" s="203" t="str">
        <f t="shared" si="8"/>
        <v/>
      </c>
    </row>
    <row r="152" spans="2:5" x14ac:dyDescent="0.25">
      <c r="B152" s="204" t="str">
        <f>IF(88&lt;=$C$10,88,"")</f>
        <v/>
      </c>
      <c r="C152" s="205" t="str">
        <f t="shared" ca="1" si="6"/>
        <v/>
      </c>
      <c r="D152" s="204" t="str">
        <f t="shared" si="7"/>
        <v/>
      </c>
      <c r="E152" s="203" t="str">
        <f t="shared" si="8"/>
        <v/>
      </c>
    </row>
    <row r="153" spans="2:5" x14ac:dyDescent="0.25">
      <c r="B153" s="204" t="str">
        <f>IF(89&lt;=$C$10,89,"")</f>
        <v/>
      </c>
      <c r="C153" s="205" t="str">
        <f t="shared" ca="1" si="6"/>
        <v/>
      </c>
      <c r="D153" s="204" t="str">
        <f t="shared" si="7"/>
        <v/>
      </c>
      <c r="E153" s="203" t="str">
        <f t="shared" si="8"/>
        <v/>
      </c>
    </row>
    <row r="154" spans="2:5" x14ac:dyDescent="0.25">
      <c r="B154" s="204" t="str">
        <f>IF(90&lt;=$C$10,90,"")</f>
        <v/>
      </c>
      <c r="C154" s="205" t="str">
        <f t="shared" ca="1" si="6"/>
        <v/>
      </c>
      <c r="D154" s="204" t="str">
        <f t="shared" si="7"/>
        <v/>
      </c>
      <c r="E154" s="203" t="str">
        <f t="shared" si="8"/>
        <v/>
      </c>
    </row>
    <row r="155" spans="2:5" x14ac:dyDescent="0.25">
      <c r="B155" s="204" t="str">
        <f>IF(91&lt;=$C$10,91,"")</f>
        <v/>
      </c>
      <c r="C155" s="205" t="str">
        <f t="shared" ca="1" si="6"/>
        <v/>
      </c>
      <c r="D155" s="204" t="str">
        <f t="shared" si="7"/>
        <v/>
      </c>
      <c r="E155" s="203" t="str">
        <f t="shared" si="8"/>
        <v/>
      </c>
    </row>
    <row r="156" spans="2:5" x14ac:dyDescent="0.25">
      <c r="B156" s="204" t="str">
        <f>IF(92&lt;=$C$10,92,"")</f>
        <v/>
      </c>
      <c r="C156" s="205" t="str">
        <f t="shared" ca="1" si="6"/>
        <v/>
      </c>
      <c r="D156" s="204" t="str">
        <f t="shared" si="7"/>
        <v/>
      </c>
      <c r="E156" s="203" t="str">
        <f t="shared" si="8"/>
        <v/>
      </c>
    </row>
    <row r="157" spans="2:5" x14ac:dyDescent="0.25">
      <c r="B157" s="204" t="str">
        <f>IF(93&lt;=$C$10,93,"")</f>
        <v/>
      </c>
      <c r="C157" s="205" t="str">
        <f t="shared" ca="1" si="6"/>
        <v/>
      </c>
      <c r="D157" s="204" t="str">
        <f t="shared" si="7"/>
        <v/>
      </c>
      <c r="E157" s="203" t="str">
        <f t="shared" si="8"/>
        <v/>
      </c>
    </row>
    <row r="158" spans="2:5" x14ac:dyDescent="0.25">
      <c r="B158" s="204" t="str">
        <f>IF(94&lt;=$C$10,94,"")</f>
        <v/>
      </c>
      <c r="C158" s="205" t="str">
        <f t="shared" ca="1" si="6"/>
        <v/>
      </c>
      <c r="D158" s="204" t="str">
        <f t="shared" si="7"/>
        <v/>
      </c>
      <c r="E158" s="203" t="str">
        <f t="shared" si="8"/>
        <v/>
      </c>
    </row>
    <row r="159" spans="2:5" x14ac:dyDescent="0.25">
      <c r="B159" s="204" t="str">
        <f>IF(95&lt;=$C$10,95,"")</f>
        <v/>
      </c>
      <c r="C159" s="205" t="str">
        <f t="shared" ca="1" si="6"/>
        <v/>
      </c>
      <c r="D159" s="204" t="str">
        <f t="shared" si="7"/>
        <v/>
      </c>
      <c r="E159" s="203" t="str">
        <f t="shared" si="8"/>
        <v/>
      </c>
    </row>
    <row r="160" spans="2:5" x14ac:dyDescent="0.25">
      <c r="B160" s="204" t="str">
        <f>IF(96&lt;=$C$10,96,"")</f>
        <v/>
      </c>
      <c r="C160" s="205" t="str">
        <f t="shared" ca="1" si="6"/>
        <v/>
      </c>
      <c r="D160" s="204" t="str">
        <f t="shared" si="7"/>
        <v/>
      </c>
      <c r="E160" s="203" t="str">
        <f t="shared" si="8"/>
        <v/>
      </c>
    </row>
    <row r="161" spans="2:5" x14ac:dyDescent="0.25">
      <c r="B161" s="204" t="str">
        <f>IF(97&lt;=$C$10,97,"")</f>
        <v/>
      </c>
      <c r="C161" s="205" t="str">
        <f t="shared" ref="C161:C192" ca="1" si="9">IF(B161="","",RAND())</f>
        <v/>
      </c>
      <c r="D161" s="204" t="str">
        <f t="shared" ref="D161:D192" si="10">IF(B161="","",RANK(C161,$C$65:$C$264,1))</f>
        <v/>
      </c>
      <c r="E161" s="203" t="str">
        <f t="shared" ref="E161:E192" si="11">IF(B161="","",IF(D161&lt;=$C$11,"Selectionne - "&amp;INDEX($B$15:$U$15,D161),"Reserve"))</f>
        <v/>
      </c>
    </row>
    <row r="162" spans="2:5" x14ac:dyDescent="0.25">
      <c r="B162" s="204" t="str">
        <f>IF(98&lt;=$C$10,98,"")</f>
        <v/>
      </c>
      <c r="C162" s="205" t="str">
        <f t="shared" ca="1" si="9"/>
        <v/>
      </c>
      <c r="D162" s="204" t="str">
        <f t="shared" si="10"/>
        <v/>
      </c>
      <c r="E162" s="203" t="str">
        <f t="shared" si="11"/>
        <v/>
      </c>
    </row>
    <row r="163" spans="2:5" x14ac:dyDescent="0.25">
      <c r="B163" s="204" t="str">
        <f>IF(99&lt;=$C$10,99,"")</f>
        <v/>
      </c>
      <c r="C163" s="205" t="str">
        <f t="shared" ca="1" si="9"/>
        <v/>
      </c>
      <c r="D163" s="204" t="str">
        <f t="shared" si="10"/>
        <v/>
      </c>
      <c r="E163" s="203" t="str">
        <f t="shared" si="11"/>
        <v/>
      </c>
    </row>
    <row r="164" spans="2:5" x14ac:dyDescent="0.25">
      <c r="B164" s="204" t="str">
        <f>IF(100&lt;=$C$10,100,"")</f>
        <v/>
      </c>
      <c r="C164" s="205" t="str">
        <f t="shared" ca="1" si="9"/>
        <v/>
      </c>
      <c r="D164" s="204" t="str">
        <f t="shared" si="10"/>
        <v/>
      </c>
      <c r="E164" s="203" t="str">
        <f t="shared" si="11"/>
        <v/>
      </c>
    </row>
    <row r="165" spans="2:5" x14ac:dyDescent="0.25">
      <c r="B165" s="204" t="str">
        <f>IF(101&lt;=$C$10,101,"")</f>
        <v/>
      </c>
      <c r="C165" s="205" t="str">
        <f t="shared" ca="1" si="9"/>
        <v/>
      </c>
      <c r="D165" s="204" t="str">
        <f t="shared" si="10"/>
        <v/>
      </c>
      <c r="E165" s="203" t="str">
        <f t="shared" si="11"/>
        <v/>
      </c>
    </row>
    <row r="166" spans="2:5" x14ac:dyDescent="0.25">
      <c r="B166" s="204" t="str">
        <f>IF(102&lt;=$C$10,102,"")</f>
        <v/>
      </c>
      <c r="C166" s="205" t="str">
        <f t="shared" ca="1" si="9"/>
        <v/>
      </c>
      <c r="D166" s="204" t="str">
        <f t="shared" si="10"/>
        <v/>
      </c>
      <c r="E166" s="203" t="str">
        <f t="shared" si="11"/>
        <v/>
      </c>
    </row>
    <row r="167" spans="2:5" x14ac:dyDescent="0.25">
      <c r="B167" s="204" t="str">
        <f>IF(103&lt;=$C$10,103,"")</f>
        <v/>
      </c>
      <c r="C167" s="205" t="str">
        <f t="shared" ca="1" si="9"/>
        <v/>
      </c>
      <c r="D167" s="204" t="str">
        <f t="shared" si="10"/>
        <v/>
      </c>
      <c r="E167" s="203" t="str">
        <f t="shared" si="11"/>
        <v/>
      </c>
    </row>
    <row r="168" spans="2:5" x14ac:dyDescent="0.25">
      <c r="B168" s="204" t="str">
        <f>IF(104&lt;=$C$10,104,"")</f>
        <v/>
      </c>
      <c r="C168" s="205" t="str">
        <f t="shared" ca="1" si="9"/>
        <v/>
      </c>
      <c r="D168" s="204" t="str">
        <f t="shared" si="10"/>
        <v/>
      </c>
      <c r="E168" s="203" t="str">
        <f t="shared" si="11"/>
        <v/>
      </c>
    </row>
    <row r="169" spans="2:5" x14ac:dyDescent="0.25">
      <c r="B169" s="204" t="str">
        <f>IF(105&lt;=$C$10,105,"")</f>
        <v/>
      </c>
      <c r="C169" s="205" t="str">
        <f t="shared" ca="1" si="9"/>
        <v/>
      </c>
      <c r="D169" s="204" t="str">
        <f t="shared" si="10"/>
        <v/>
      </c>
      <c r="E169" s="203" t="str">
        <f t="shared" si="11"/>
        <v/>
      </c>
    </row>
    <row r="170" spans="2:5" x14ac:dyDescent="0.25">
      <c r="B170" s="204" t="str">
        <f>IF(106&lt;=$C$10,106,"")</f>
        <v/>
      </c>
      <c r="C170" s="205" t="str">
        <f t="shared" ca="1" si="9"/>
        <v/>
      </c>
      <c r="D170" s="204" t="str">
        <f t="shared" si="10"/>
        <v/>
      </c>
      <c r="E170" s="203" t="str">
        <f t="shared" si="11"/>
        <v/>
      </c>
    </row>
    <row r="171" spans="2:5" x14ac:dyDescent="0.25">
      <c r="B171" s="204" t="str">
        <f>IF(107&lt;=$C$10,107,"")</f>
        <v/>
      </c>
      <c r="C171" s="205" t="str">
        <f t="shared" ca="1" si="9"/>
        <v/>
      </c>
      <c r="D171" s="204" t="str">
        <f t="shared" si="10"/>
        <v/>
      </c>
      <c r="E171" s="203" t="str">
        <f t="shared" si="11"/>
        <v/>
      </c>
    </row>
    <row r="172" spans="2:5" x14ac:dyDescent="0.25">
      <c r="B172" s="204" t="str">
        <f>IF(108&lt;=$C$10,108,"")</f>
        <v/>
      </c>
      <c r="C172" s="205" t="str">
        <f t="shared" ca="1" si="9"/>
        <v/>
      </c>
      <c r="D172" s="204" t="str">
        <f t="shared" si="10"/>
        <v/>
      </c>
      <c r="E172" s="203" t="str">
        <f t="shared" si="11"/>
        <v/>
      </c>
    </row>
    <row r="173" spans="2:5" x14ac:dyDescent="0.25">
      <c r="B173" s="204" t="str">
        <f>IF(109&lt;=$C$10,109,"")</f>
        <v/>
      </c>
      <c r="C173" s="205" t="str">
        <f t="shared" ca="1" si="9"/>
        <v/>
      </c>
      <c r="D173" s="204" t="str">
        <f t="shared" si="10"/>
        <v/>
      </c>
      <c r="E173" s="203" t="str">
        <f t="shared" si="11"/>
        <v/>
      </c>
    </row>
    <row r="174" spans="2:5" x14ac:dyDescent="0.25">
      <c r="B174" s="204" t="str">
        <f>IF(110&lt;=$C$10,110,"")</f>
        <v/>
      </c>
      <c r="C174" s="205" t="str">
        <f t="shared" ca="1" si="9"/>
        <v/>
      </c>
      <c r="D174" s="204" t="str">
        <f t="shared" si="10"/>
        <v/>
      </c>
      <c r="E174" s="203" t="str">
        <f t="shared" si="11"/>
        <v/>
      </c>
    </row>
    <row r="175" spans="2:5" x14ac:dyDescent="0.25">
      <c r="B175" s="204" t="str">
        <f>IF(111&lt;=$C$10,111,"")</f>
        <v/>
      </c>
      <c r="C175" s="205" t="str">
        <f t="shared" ca="1" si="9"/>
        <v/>
      </c>
      <c r="D175" s="204" t="str">
        <f t="shared" si="10"/>
        <v/>
      </c>
      <c r="E175" s="203" t="str">
        <f t="shared" si="11"/>
        <v/>
      </c>
    </row>
    <row r="176" spans="2:5" x14ac:dyDescent="0.25">
      <c r="B176" s="204" t="str">
        <f>IF(112&lt;=$C$10,112,"")</f>
        <v/>
      </c>
      <c r="C176" s="205" t="str">
        <f t="shared" ca="1" si="9"/>
        <v/>
      </c>
      <c r="D176" s="204" t="str">
        <f t="shared" si="10"/>
        <v/>
      </c>
      <c r="E176" s="203" t="str">
        <f t="shared" si="11"/>
        <v/>
      </c>
    </row>
    <row r="177" spans="2:5" x14ac:dyDescent="0.25">
      <c r="B177" s="204" t="str">
        <f>IF(113&lt;=$C$10,113,"")</f>
        <v/>
      </c>
      <c r="C177" s="205" t="str">
        <f t="shared" ca="1" si="9"/>
        <v/>
      </c>
      <c r="D177" s="204" t="str">
        <f t="shared" si="10"/>
        <v/>
      </c>
      <c r="E177" s="203" t="str">
        <f t="shared" si="11"/>
        <v/>
      </c>
    </row>
    <row r="178" spans="2:5" x14ac:dyDescent="0.25">
      <c r="B178" s="204" t="str">
        <f>IF(114&lt;=$C$10,114,"")</f>
        <v/>
      </c>
      <c r="C178" s="205" t="str">
        <f t="shared" ca="1" si="9"/>
        <v/>
      </c>
      <c r="D178" s="204" t="str">
        <f t="shared" si="10"/>
        <v/>
      </c>
      <c r="E178" s="203" t="str">
        <f t="shared" si="11"/>
        <v/>
      </c>
    </row>
    <row r="179" spans="2:5" x14ac:dyDescent="0.25">
      <c r="B179" s="204" t="str">
        <f>IF(115&lt;=$C$10,115,"")</f>
        <v/>
      </c>
      <c r="C179" s="205" t="str">
        <f t="shared" ca="1" si="9"/>
        <v/>
      </c>
      <c r="D179" s="204" t="str">
        <f t="shared" si="10"/>
        <v/>
      </c>
      <c r="E179" s="203" t="str">
        <f t="shared" si="11"/>
        <v/>
      </c>
    </row>
    <row r="180" spans="2:5" x14ac:dyDescent="0.25">
      <c r="B180" s="204" t="str">
        <f>IF(116&lt;=$C$10,116,"")</f>
        <v/>
      </c>
      <c r="C180" s="205" t="str">
        <f t="shared" ca="1" si="9"/>
        <v/>
      </c>
      <c r="D180" s="204" t="str">
        <f t="shared" si="10"/>
        <v/>
      </c>
      <c r="E180" s="203" t="str">
        <f t="shared" si="11"/>
        <v/>
      </c>
    </row>
    <row r="181" spans="2:5" x14ac:dyDescent="0.25">
      <c r="B181" s="204" t="str">
        <f>IF(117&lt;=$C$10,117,"")</f>
        <v/>
      </c>
      <c r="C181" s="205" t="str">
        <f t="shared" ca="1" si="9"/>
        <v/>
      </c>
      <c r="D181" s="204" t="str">
        <f t="shared" si="10"/>
        <v/>
      </c>
      <c r="E181" s="203" t="str">
        <f t="shared" si="11"/>
        <v/>
      </c>
    </row>
    <row r="182" spans="2:5" x14ac:dyDescent="0.25">
      <c r="B182" s="204" t="str">
        <f>IF(118&lt;=$C$10,118,"")</f>
        <v/>
      </c>
      <c r="C182" s="205" t="str">
        <f t="shared" ca="1" si="9"/>
        <v/>
      </c>
      <c r="D182" s="204" t="str">
        <f t="shared" si="10"/>
        <v/>
      </c>
      <c r="E182" s="203" t="str">
        <f t="shared" si="11"/>
        <v/>
      </c>
    </row>
    <row r="183" spans="2:5" x14ac:dyDescent="0.25">
      <c r="B183" s="204" t="str">
        <f>IF(119&lt;=$C$10,119,"")</f>
        <v/>
      </c>
      <c r="C183" s="205" t="str">
        <f t="shared" ca="1" si="9"/>
        <v/>
      </c>
      <c r="D183" s="204" t="str">
        <f t="shared" si="10"/>
        <v/>
      </c>
      <c r="E183" s="203" t="str">
        <f t="shared" si="11"/>
        <v/>
      </c>
    </row>
    <row r="184" spans="2:5" x14ac:dyDescent="0.25">
      <c r="B184" s="204" t="str">
        <f>IF(120&lt;=$C$10,120,"")</f>
        <v/>
      </c>
      <c r="C184" s="205" t="str">
        <f t="shared" ca="1" si="9"/>
        <v/>
      </c>
      <c r="D184" s="204" t="str">
        <f t="shared" si="10"/>
        <v/>
      </c>
      <c r="E184" s="203" t="str">
        <f t="shared" si="11"/>
        <v/>
      </c>
    </row>
    <row r="185" spans="2:5" x14ac:dyDescent="0.25">
      <c r="B185" s="204" t="str">
        <f>IF(121&lt;=$C$10,121,"")</f>
        <v/>
      </c>
      <c r="C185" s="205" t="str">
        <f t="shared" ca="1" si="9"/>
        <v/>
      </c>
      <c r="D185" s="204" t="str">
        <f t="shared" si="10"/>
        <v/>
      </c>
      <c r="E185" s="203" t="str">
        <f t="shared" si="11"/>
        <v/>
      </c>
    </row>
    <row r="186" spans="2:5" x14ac:dyDescent="0.25">
      <c r="B186" s="204" t="str">
        <f>IF(122&lt;=$C$10,122,"")</f>
        <v/>
      </c>
      <c r="C186" s="205" t="str">
        <f t="shared" ca="1" si="9"/>
        <v/>
      </c>
      <c r="D186" s="204" t="str">
        <f t="shared" si="10"/>
        <v/>
      </c>
      <c r="E186" s="203" t="str">
        <f t="shared" si="11"/>
        <v/>
      </c>
    </row>
    <row r="187" spans="2:5" x14ac:dyDescent="0.25">
      <c r="B187" s="204" t="str">
        <f>IF(123&lt;=$C$10,123,"")</f>
        <v/>
      </c>
      <c r="C187" s="205" t="str">
        <f t="shared" ca="1" si="9"/>
        <v/>
      </c>
      <c r="D187" s="204" t="str">
        <f t="shared" si="10"/>
        <v/>
      </c>
      <c r="E187" s="203" t="str">
        <f t="shared" si="11"/>
        <v/>
      </c>
    </row>
    <row r="188" spans="2:5" x14ac:dyDescent="0.25">
      <c r="B188" s="204" t="str">
        <f>IF(124&lt;=$C$10,124,"")</f>
        <v/>
      </c>
      <c r="C188" s="205" t="str">
        <f t="shared" ca="1" si="9"/>
        <v/>
      </c>
      <c r="D188" s="204" t="str">
        <f t="shared" si="10"/>
        <v/>
      </c>
      <c r="E188" s="203" t="str">
        <f t="shared" si="11"/>
        <v/>
      </c>
    </row>
    <row r="189" spans="2:5" x14ac:dyDescent="0.25">
      <c r="B189" s="204" t="str">
        <f>IF(125&lt;=$C$10,125,"")</f>
        <v/>
      </c>
      <c r="C189" s="205" t="str">
        <f t="shared" ca="1" si="9"/>
        <v/>
      </c>
      <c r="D189" s="204" t="str">
        <f t="shared" si="10"/>
        <v/>
      </c>
      <c r="E189" s="203" t="str">
        <f t="shared" si="11"/>
        <v/>
      </c>
    </row>
    <row r="190" spans="2:5" x14ac:dyDescent="0.25">
      <c r="B190" s="204" t="str">
        <f>IF(126&lt;=$C$10,126,"")</f>
        <v/>
      </c>
      <c r="C190" s="205" t="str">
        <f t="shared" ca="1" si="9"/>
        <v/>
      </c>
      <c r="D190" s="204" t="str">
        <f t="shared" si="10"/>
        <v/>
      </c>
      <c r="E190" s="203" t="str">
        <f t="shared" si="11"/>
        <v/>
      </c>
    </row>
    <row r="191" spans="2:5" x14ac:dyDescent="0.25">
      <c r="B191" s="204" t="str">
        <f>IF(127&lt;=$C$10,127,"")</f>
        <v/>
      </c>
      <c r="C191" s="205" t="str">
        <f t="shared" ca="1" si="9"/>
        <v/>
      </c>
      <c r="D191" s="204" t="str">
        <f t="shared" si="10"/>
        <v/>
      </c>
      <c r="E191" s="203" t="str">
        <f t="shared" si="11"/>
        <v/>
      </c>
    </row>
    <row r="192" spans="2:5" x14ac:dyDescent="0.25">
      <c r="B192" s="204" t="str">
        <f>IF(128&lt;=$C$10,128,"")</f>
        <v/>
      </c>
      <c r="C192" s="205" t="str">
        <f t="shared" ca="1" si="9"/>
        <v/>
      </c>
      <c r="D192" s="204" t="str">
        <f t="shared" si="10"/>
        <v/>
      </c>
      <c r="E192" s="203" t="str">
        <f t="shared" si="11"/>
        <v/>
      </c>
    </row>
    <row r="193" spans="2:5" x14ac:dyDescent="0.25">
      <c r="B193" s="204" t="str">
        <f>IF(129&lt;=$C$10,129,"")</f>
        <v/>
      </c>
      <c r="C193" s="205" t="str">
        <f t="shared" ref="C193:C224" ca="1" si="12">IF(B193="","",RAND())</f>
        <v/>
      </c>
      <c r="D193" s="204" t="str">
        <f t="shared" ref="D193:D224" si="13">IF(B193="","",RANK(C193,$C$65:$C$264,1))</f>
        <v/>
      </c>
      <c r="E193" s="203" t="str">
        <f t="shared" ref="E193:E224" si="14">IF(B193="","",IF(D193&lt;=$C$11,"Selectionne - "&amp;INDEX($B$15:$U$15,D193),"Reserve"))</f>
        <v/>
      </c>
    </row>
    <row r="194" spans="2:5" x14ac:dyDescent="0.25">
      <c r="B194" s="204" t="str">
        <f>IF(130&lt;=$C$10,130,"")</f>
        <v/>
      </c>
      <c r="C194" s="205" t="str">
        <f t="shared" ca="1" si="12"/>
        <v/>
      </c>
      <c r="D194" s="204" t="str">
        <f t="shared" si="13"/>
        <v/>
      </c>
      <c r="E194" s="203" t="str">
        <f t="shared" si="14"/>
        <v/>
      </c>
    </row>
    <row r="195" spans="2:5" x14ac:dyDescent="0.25">
      <c r="B195" s="204" t="str">
        <f>IF(131&lt;=$C$10,131,"")</f>
        <v/>
      </c>
      <c r="C195" s="205" t="str">
        <f t="shared" ca="1" si="12"/>
        <v/>
      </c>
      <c r="D195" s="204" t="str">
        <f t="shared" si="13"/>
        <v/>
      </c>
      <c r="E195" s="203" t="str">
        <f t="shared" si="14"/>
        <v/>
      </c>
    </row>
    <row r="196" spans="2:5" x14ac:dyDescent="0.25">
      <c r="B196" s="204" t="str">
        <f>IF(132&lt;=$C$10,132,"")</f>
        <v/>
      </c>
      <c r="C196" s="205" t="str">
        <f t="shared" ca="1" si="12"/>
        <v/>
      </c>
      <c r="D196" s="204" t="str">
        <f t="shared" si="13"/>
        <v/>
      </c>
      <c r="E196" s="203" t="str">
        <f t="shared" si="14"/>
        <v/>
      </c>
    </row>
    <row r="197" spans="2:5" x14ac:dyDescent="0.25">
      <c r="B197" s="204" t="str">
        <f>IF(133&lt;=$C$10,133,"")</f>
        <v/>
      </c>
      <c r="C197" s="205" t="str">
        <f t="shared" ca="1" si="12"/>
        <v/>
      </c>
      <c r="D197" s="204" t="str">
        <f t="shared" si="13"/>
        <v/>
      </c>
      <c r="E197" s="203" t="str">
        <f t="shared" si="14"/>
        <v/>
      </c>
    </row>
    <row r="198" spans="2:5" x14ac:dyDescent="0.25">
      <c r="B198" s="204" t="str">
        <f>IF(134&lt;=$C$10,134,"")</f>
        <v/>
      </c>
      <c r="C198" s="205" t="str">
        <f t="shared" ca="1" si="12"/>
        <v/>
      </c>
      <c r="D198" s="204" t="str">
        <f t="shared" si="13"/>
        <v/>
      </c>
      <c r="E198" s="203" t="str">
        <f t="shared" si="14"/>
        <v/>
      </c>
    </row>
    <row r="199" spans="2:5" x14ac:dyDescent="0.25">
      <c r="B199" s="204" t="str">
        <f>IF(135&lt;=$C$10,135,"")</f>
        <v/>
      </c>
      <c r="C199" s="205" t="str">
        <f t="shared" ca="1" si="12"/>
        <v/>
      </c>
      <c r="D199" s="204" t="str">
        <f t="shared" si="13"/>
        <v/>
      </c>
      <c r="E199" s="203" t="str">
        <f t="shared" si="14"/>
        <v/>
      </c>
    </row>
    <row r="200" spans="2:5" x14ac:dyDescent="0.25">
      <c r="B200" s="204" t="str">
        <f>IF(136&lt;=$C$10,136,"")</f>
        <v/>
      </c>
      <c r="C200" s="205" t="str">
        <f t="shared" ca="1" si="12"/>
        <v/>
      </c>
      <c r="D200" s="204" t="str">
        <f t="shared" si="13"/>
        <v/>
      </c>
      <c r="E200" s="203" t="str">
        <f t="shared" si="14"/>
        <v/>
      </c>
    </row>
    <row r="201" spans="2:5" x14ac:dyDescent="0.25">
      <c r="B201" s="204" t="str">
        <f>IF(137&lt;=$C$10,137,"")</f>
        <v/>
      </c>
      <c r="C201" s="205" t="str">
        <f t="shared" ca="1" si="12"/>
        <v/>
      </c>
      <c r="D201" s="204" t="str">
        <f t="shared" si="13"/>
        <v/>
      </c>
      <c r="E201" s="203" t="str">
        <f t="shared" si="14"/>
        <v/>
      </c>
    </row>
    <row r="202" spans="2:5" x14ac:dyDescent="0.25">
      <c r="B202" s="204" t="str">
        <f>IF(138&lt;=$C$10,138,"")</f>
        <v/>
      </c>
      <c r="C202" s="205" t="str">
        <f t="shared" ca="1" si="12"/>
        <v/>
      </c>
      <c r="D202" s="204" t="str">
        <f t="shared" si="13"/>
        <v/>
      </c>
      <c r="E202" s="203" t="str">
        <f t="shared" si="14"/>
        <v/>
      </c>
    </row>
    <row r="203" spans="2:5" x14ac:dyDescent="0.25">
      <c r="B203" s="204" t="str">
        <f>IF(139&lt;=$C$10,139,"")</f>
        <v/>
      </c>
      <c r="C203" s="205" t="str">
        <f t="shared" ca="1" si="12"/>
        <v/>
      </c>
      <c r="D203" s="204" t="str">
        <f t="shared" si="13"/>
        <v/>
      </c>
      <c r="E203" s="203" t="str">
        <f t="shared" si="14"/>
        <v/>
      </c>
    </row>
    <row r="204" spans="2:5" x14ac:dyDescent="0.25">
      <c r="B204" s="204" t="str">
        <f>IF(140&lt;=$C$10,140,"")</f>
        <v/>
      </c>
      <c r="C204" s="205" t="str">
        <f t="shared" ca="1" si="12"/>
        <v/>
      </c>
      <c r="D204" s="204" t="str">
        <f t="shared" si="13"/>
        <v/>
      </c>
      <c r="E204" s="203" t="str">
        <f t="shared" si="14"/>
        <v/>
      </c>
    </row>
    <row r="205" spans="2:5" x14ac:dyDescent="0.25">
      <c r="B205" s="204" t="str">
        <f>IF(141&lt;=$C$10,141,"")</f>
        <v/>
      </c>
      <c r="C205" s="205" t="str">
        <f t="shared" ca="1" si="12"/>
        <v/>
      </c>
      <c r="D205" s="204" t="str">
        <f t="shared" si="13"/>
        <v/>
      </c>
      <c r="E205" s="203" t="str">
        <f t="shared" si="14"/>
        <v/>
      </c>
    </row>
    <row r="206" spans="2:5" x14ac:dyDescent="0.25">
      <c r="B206" s="204" t="str">
        <f>IF(142&lt;=$C$10,142,"")</f>
        <v/>
      </c>
      <c r="C206" s="205" t="str">
        <f t="shared" ca="1" si="12"/>
        <v/>
      </c>
      <c r="D206" s="204" t="str">
        <f t="shared" si="13"/>
        <v/>
      </c>
      <c r="E206" s="203" t="str">
        <f t="shared" si="14"/>
        <v/>
      </c>
    </row>
    <row r="207" spans="2:5" x14ac:dyDescent="0.25">
      <c r="B207" s="204" t="str">
        <f>IF(143&lt;=$C$10,143,"")</f>
        <v/>
      </c>
      <c r="C207" s="205" t="str">
        <f t="shared" ca="1" si="12"/>
        <v/>
      </c>
      <c r="D207" s="204" t="str">
        <f t="shared" si="13"/>
        <v/>
      </c>
      <c r="E207" s="203" t="str">
        <f t="shared" si="14"/>
        <v/>
      </c>
    </row>
    <row r="208" spans="2:5" x14ac:dyDescent="0.25">
      <c r="B208" s="204" t="str">
        <f>IF(144&lt;=$C$10,144,"")</f>
        <v/>
      </c>
      <c r="C208" s="205" t="str">
        <f t="shared" ca="1" si="12"/>
        <v/>
      </c>
      <c r="D208" s="204" t="str">
        <f t="shared" si="13"/>
        <v/>
      </c>
      <c r="E208" s="203" t="str">
        <f t="shared" si="14"/>
        <v/>
      </c>
    </row>
    <row r="209" spans="2:5" x14ac:dyDescent="0.25">
      <c r="B209" s="204" t="str">
        <f>IF(145&lt;=$C$10,145,"")</f>
        <v/>
      </c>
      <c r="C209" s="205" t="str">
        <f t="shared" ca="1" si="12"/>
        <v/>
      </c>
      <c r="D209" s="204" t="str">
        <f t="shared" si="13"/>
        <v/>
      </c>
      <c r="E209" s="203" t="str">
        <f t="shared" si="14"/>
        <v/>
      </c>
    </row>
    <row r="210" spans="2:5" x14ac:dyDescent="0.25">
      <c r="B210" s="204" t="str">
        <f>IF(146&lt;=$C$10,146,"")</f>
        <v/>
      </c>
      <c r="C210" s="205" t="str">
        <f t="shared" ca="1" si="12"/>
        <v/>
      </c>
      <c r="D210" s="204" t="str">
        <f t="shared" si="13"/>
        <v/>
      </c>
      <c r="E210" s="203" t="str">
        <f t="shared" si="14"/>
        <v/>
      </c>
    </row>
    <row r="211" spans="2:5" x14ac:dyDescent="0.25">
      <c r="B211" s="204" t="str">
        <f>IF(147&lt;=$C$10,147,"")</f>
        <v/>
      </c>
      <c r="C211" s="205" t="str">
        <f t="shared" ca="1" si="12"/>
        <v/>
      </c>
      <c r="D211" s="204" t="str">
        <f t="shared" si="13"/>
        <v/>
      </c>
      <c r="E211" s="203" t="str">
        <f t="shared" si="14"/>
        <v/>
      </c>
    </row>
    <row r="212" spans="2:5" x14ac:dyDescent="0.25">
      <c r="B212" s="204" t="str">
        <f>IF(148&lt;=$C$10,148,"")</f>
        <v/>
      </c>
      <c r="C212" s="205" t="str">
        <f t="shared" ca="1" si="12"/>
        <v/>
      </c>
      <c r="D212" s="204" t="str">
        <f t="shared" si="13"/>
        <v/>
      </c>
      <c r="E212" s="203" t="str">
        <f t="shared" si="14"/>
        <v/>
      </c>
    </row>
    <row r="213" spans="2:5" x14ac:dyDescent="0.25">
      <c r="B213" s="204" t="str">
        <f>IF(149&lt;=$C$10,149,"")</f>
        <v/>
      </c>
      <c r="C213" s="205" t="str">
        <f t="shared" ca="1" si="12"/>
        <v/>
      </c>
      <c r="D213" s="204" t="str">
        <f t="shared" si="13"/>
        <v/>
      </c>
      <c r="E213" s="203" t="str">
        <f t="shared" si="14"/>
        <v/>
      </c>
    </row>
    <row r="214" spans="2:5" x14ac:dyDescent="0.25">
      <c r="B214" s="204" t="str">
        <f>IF(150&lt;=$C$10,150,"")</f>
        <v/>
      </c>
      <c r="C214" s="205" t="str">
        <f t="shared" ca="1" si="12"/>
        <v/>
      </c>
      <c r="D214" s="204" t="str">
        <f t="shared" si="13"/>
        <v/>
      </c>
      <c r="E214" s="203" t="str">
        <f t="shared" si="14"/>
        <v/>
      </c>
    </row>
    <row r="215" spans="2:5" x14ac:dyDescent="0.25">
      <c r="B215" s="204" t="str">
        <f>IF(151&lt;=$C$10,151,"")</f>
        <v/>
      </c>
      <c r="C215" s="205" t="str">
        <f t="shared" ca="1" si="12"/>
        <v/>
      </c>
      <c r="D215" s="204" t="str">
        <f t="shared" si="13"/>
        <v/>
      </c>
      <c r="E215" s="203" t="str">
        <f t="shared" si="14"/>
        <v/>
      </c>
    </row>
    <row r="216" spans="2:5" x14ac:dyDescent="0.25">
      <c r="B216" s="204" t="str">
        <f>IF(152&lt;=$C$10,152,"")</f>
        <v/>
      </c>
      <c r="C216" s="205" t="str">
        <f t="shared" ca="1" si="12"/>
        <v/>
      </c>
      <c r="D216" s="204" t="str">
        <f t="shared" si="13"/>
        <v/>
      </c>
      <c r="E216" s="203" t="str">
        <f t="shared" si="14"/>
        <v/>
      </c>
    </row>
    <row r="217" spans="2:5" x14ac:dyDescent="0.25">
      <c r="B217" s="204" t="str">
        <f>IF(153&lt;=$C$10,153,"")</f>
        <v/>
      </c>
      <c r="C217" s="205" t="str">
        <f t="shared" ca="1" si="12"/>
        <v/>
      </c>
      <c r="D217" s="204" t="str">
        <f t="shared" si="13"/>
        <v/>
      </c>
      <c r="E217" s="203" t="str">
        <f t="shared" si="14"/>
        <v/>
      </c>
    </row>
    <row r="218" spans="2:5" x14ac:dyDescent="0.25">
      <c r="B218" s="204" t="str">
        <f>IF(154&lt;=$C$10,154,"")</f>
        <v/>
      </c>
      <c r="C218" s="205" t="str">
        <f t="shared" ca="1" si="12"/>
        <v/>
      </c>
      <c r="D218" s="204" t="str">
        <f t="shared" si="13"/>
        <v/>
      </c>
      <c r="E218" s="203" t="str">
        <f t="shared" si="14"/>
        <v/>
      </c>
    </row>
    <row r="219" spans="2:5" x14ac:dyDescent="0.25">
      <c r="B219" s="204" t="str">
        <f>IF(155&lt;=$C$10,155,"")</f>
        <v/>
      </c>
      <c r="C219" s="205" t="str">
        <f t="shared" ca="1" si="12"/>
        <v/>
      </c>
      <c r="D219" s="204" t="str">
        <f t="shared" si="13"/>
        <v/>
      </c>
      <c r="E219" s="203" t="str">
        <f t="shared" si="14"/>
        <v/>
      </c>
    </row>
    <row r="220" spans="2:5" x14ac:dyDescent="0.25">
      <c r="B220" s="204" t="str">
        <f>IF(156&lt;=$C$10,156,"")</f>
        <v/>
      </c>
      <c r="C220" s="205" t="str">
        <f t="shared" ca="1" si="12"/>
        <v/>
      </c>
      <c r="D220" s="204" t="str">
        <f t="shared" si="13"/>
        <v/>
      </c>
      <c r="E220" s="203" t="str">
        <f t="shared" si="14"/>
        <v/>
      </c>
    </row>
    <row r="221" spans="2:5" x14ac:dyDescent="0.25">
      <c r="B221" s="204" t="str">
        <f>IF(157&lt;=$C$10,157,"")</f>
        <v/>
      </c>
      <c r="C221" s="205" t="str">
        <f t="shared" ca="1" si="12"/>
        <v/>
      </c>
      <c r="D221" s="204" t="str">
        <f t="shared" si="13"/>
        <v/>
      </c>
      <c r="E221" s="203" t="str">
        <f t="shared" si="14"/>
        <v/>
      </c>
    </row>
    <row r="222" spans="2:5" x14ac:dyDescent="0.25">
      <c r="B222" s="204" t="str">
        <f>IF(158&lt;=$C$10,158,"")</f>
        <v/>
      </c>
      <c r="C222" s="205" t="str">
        <f t="shared" ca="1" si="12"/>
        <v/>
      </c>
      <c r="D222" s="204" t="str">
        <f t="shared" si="13"/>
        <v/>
      </c>
      <c r="E222" s="203" t="str">
        <f t="shared" si="14"/>
        <v/>
      </c>
    </row>
    <row r="223" spans="2:5" x14ac:dyDescent="0.25">
      <c r="B223" s="204" t="str">
        <f>IF(159&lt;=$C$10,159,"")</f>
        <v/>
      </c>
      <c r="C223" s="205" t="str">
        <f t="shared" ca="1" si="12"/>
        <v/>
      </c>
      <c r="D223" s="204" t="str">
        <f t="shared" si="13"/>
        <v/>
      </c>
      <c r="E223" s="203" t="str">
        <f t="shared" si="14"/>
        <v/>
      </c>
    </row>
    <row r="224" spans="2:5" x14ac:dyDescent="0.25">
      <c r="B224" s="204" t="str">
        <f>IF(160&lt;=$C$10,160,"")</f>
        <v/>
      </c>
      <c r="C224" s="205" t="str">
        <f t="shared" ca="1" si="12"/>
        <v/>
      </c>
      <c r="D224" s="204" t="str">
        <f t="shared" si="13"/>
        <v/>
      </c>
      <c r="E224" s="203" t="str">
        <f t="shared" si="14"/>
        <v/>
      </c>
    </row>
    <row r="225" spans="2:5" x14ac:dyDescent="0.25">
      <c r="B225" s="204" t="str">
        <f>IF(161&lt;=$C$10,161,"")</f>
        <v/>
      </c>
      <c r="C225" s="205" t="str">
        <f t="shared" ref="C225:C256" ca="1" si="15">IF(B225="","",RAND())</f>
        <v/>
      </c>
      <c r="D225" s="204" t="str">
        <f t="shared" ref="D225:D256" si="16">IF(B225="","",RANK(C225,$C$65:$C$264,1))</f>
        <v/>
      </c>
      <c r="E225" s="203" t="str">
        <f t="shared" ref="E225:E256" si="17">IF(B225="","",IF(D225&lt;=$C$11,"Selectionne - "&amp;INDEX($B$15:$U$15,D225),"Reserve"))</f>
        <v/>
      </c>
    </row>
    <row r="226" spans="2:5" x14ac:dyDescent="0.25">
      <c r="B226" s="204" t="str">
        <f>IF(162&lt;=$C$10,162,"")</f>
        <v/>
      </c>
      <c r="C226" s="205" t="str">
        <f t="shared" ca="1" si="15"/>
        <v/>
      </c>
      <c r="D226" s="204" t="str">
        <f t="shared" si="16"/>
        <v/>
      </c>
      <c r="E226" s="203" t="str">
        <f t="shared" si="17"/>
        <v/>
      </c>
    </row>
    <row r="227" spans="2:5" x14ac:dyDescent="0.25">
      <c r="B227" s="204" t="str">
        <f>IF(163&lt;=$C$10,163,"")</f>
        <v/>
      </c>
      <c r="C227" s="205" t="str">
        <f t="shared" ca="1" si="15"/>
        <v/>
      </c>
      <c r="D227" s="204" t="str">
        <f t="shared" si="16"/>
        <v/>
      </c>
      <c r="E227" s="203" t="str">
        <f t="shared" si="17"/>
        <v/>
      </c>
    </row>
    <row r="228" spans="2:5" x14ac:dyDescent="0.25">
      <c r="B228" s="204" t="str">
        <f>IF(164&lt;=$C$10,164,"")</f>
        <v/>
      </c>
      <c r="C228" s="205" t="str">
        <f t="shared" ca="1" si="15"/>
        <v/>
      </c>
      <c r="D228" s="204" t="str">
        <f t="shared" si="16"/>
        <v/>
      </c>
      <c r="E228" s="203" t="str">
        <f t="shared" si="17"/>
        <v/>
      </c>
    </row>
    <row r="229" spans="2:5" x14ac:dyDescent="0.25">
      <c r="B229" s="204" t="str">
        <f>IF(165&lt;=$C$10,165,"")</f>
        <v/>
      </c>
      <c r="C229" s="205" t="str">
        <f t="shared" ca="1" si="15"/>
        <v/>
      </c>
      <c r="D229" s="204" t="str">
        <f t="shared" si="16"/>
        <v/>
      </c>
      <c r="E229" s="203" t="str">
        <f t="shared" si="17"/>
        <v/>
      </c>
    </row>
    <row r="230" spans="2:5" x14ac:dyDescent="0.25">
      <c r="B230" s="204" t="str">
        <f>IF(166&lt;=$C$10,166,"")</f>
        <v/>
      </c>
      <c r="C230" s="205" t="str">
        <f t="shared" ca="1" si="15"/>
        <v/>
      </c>
      <c r="D230" s="204" t="str">
        <f t="shared" si="16"/>
        <v/>
      </c>
      <c r="E230" s="203" t="str">
        <f t="shared" si="17"/>
        <v/>
      </c>
    </row>
    <row r="231" spans="2:5" x14ac:dyDescent="0.25">
      <c r="B231" s="204" t="str">
        <f>IF(167&lt;=$C$10,167,"")</f>
        <v/>
      </c>
      <c r="C231" s="205" t="str">
        <f t="shared" ca="1" si="15"/>
        <v/>
      </c>
      <c r="D231" s="204" t="str">
        <f t="shared" si="16"/>
        <v/>
      </c>
      <c r="E231" s="203" t="str">
        <f t="shared" si="17"/>
        <v/>
      </c>
    </row>
    <row r="232" spans="2:5" x14ac:dyDescent="0.25">
      <c r="B232" s="204" t="str">
        <f>IF(168&lt;=$C$10,168,"")</f>
        <v/>
      </c>
      <c r="C232" s="205" t="str">
        <f t="shared" ca="1" si="15"/>
        <v/>
      </c>
      <c r="D232" s="204" t="str">
        <f t="shared" si="16"/>
        <v/>
      </c>
      <c r="E232" s="203" t="str">
        <f t="shared" si="17"/>
        <v/>
      </c>
    </row>
    <row r="233" spans="2:5" x14ac:dyDescent="0.25">
      <c r="B233" s="204" t="str">
        <f>IF(169&lt;=$C$10,169,"")</f>
        <v/>
      </c>
      <c r="C233" s="205" t="str">
        <f t="shared" ca="1" si="15"/>
        <v/>
      </c>
      <c r="D233" s="204" t="str">
        <f t="shared" si="16"/>
        <v/>
      </c>
      <c r="E233" s="203" t="str">
        <f t="shared" si="17"/>
        <v/>
      </c>
    </row>
    <row r="234" spans="2:5" x14ac:dyDescent="0.25">
      <c r="B234" s="204" t="str">
        <f>IF(170&lt;=$C$10,170,"")</f>
        <v/>
      </c>
      <c r="C234" s="205" t="str">
        <f t="shared" ca="1" si="15"/>
        <v/>
      </c>
      <c r="D234" s="204" t="str">
        <f t="shared" si="16"/>
        <v/>
      </c>
      <c r="E234" s="203" t="str">
        <f t="shared" si="17"/>
        <v/>
      </c>
    </row>
    <row r="235" spans="2:5" x14ac:dyDescent="0.25">
      <c r="B235" s="204" t="str">
        <f>IF(171&lt;=$C$10,171,"")</f>
        <v/>
      </c>
      <c r="C235" s="205" t="str">
        <f t="shared" ca="1" si="15"/>
        <v/>
      </c>
      <c r="D235" s="204" t="str">
        <f t="shared" si="16"/>
        <v/>
      </c>
      <c r="E235" s="203" t="str">
        <f t="shared" si="17"/>
        <v/>
      </c>
    </row>
    <row r="236" spans="2:5" x14ac:dyDescent="0.25">
      <c r="B236" s="204" t="str">
        <f>IF(172&lt;=$C$10,172,"")</f>
        <v/>
      </c>
      <c r="C236" s="205" t="str">
        <f t="shared" ca="1" si="15"/>
        <v/>
      </c>
      <c r="D236" s="204" t="str">
        <f t="shared" si="16"/>
        <v/>
      </c>
      <c r="E236" s="203" t="str">
        <f t="shared" si="17"/>
        <v/>
      </c>
    </row>
    <row r="237" spans="2:5" x14ac:dyDescent="0.25">
      <c r="B237" s="204" t="str">
        <f>IF(173&lt;=$C$10,173,"")</f>
        <v/>
      </c>
      <c r="C237" s="205" t="str">
        <f t="shared" ca="1" si="15"/>
        <v/>
      </c>
      <c r="D237" s="204" t="str">
        <f t="shared" si="16"/>
        <v/>
      </c>
      <c r="E237" s="203" t="str">
        <f t="shared" si="17"/>
        <v/>
      </c>
    </row>
    <row r="238" spans="2:5" x14ac:dyDescent="0.25">
      <c r="B238" s="204" t="str">
        <f>IF(174&lt;=$C$10,174,"")</f>
        <v/>
      </c>
      <c r="C238" s="205" t="str">
        <f t="shared" ca="1" si="15"/>
        <v/>
      </c>
      <c r="D238" s="204" t="str">
        <f t="shared" si="16"/>
        <v/>
      </c>
      <c r="E238" s="203" t="str">
        <f t="shared" si="17"/>
        <v/>
      </c>
    </row>
    <row r="239" spans="2:5" x14ac:dyDescent="0.25">
      <c r="B239" s="204" t="str">
        <f>IF(175&lt;=$C$10,175,"")</f>
        <v/>
      </c>
      <c r="C239" s="205" t="str">
        <f t="shared" ca="1" si="15"/>
        <v/>
      </c>
      <c r="D239" s="204" t="str">
        <f t="shared" si="16"/>
        <v/>
      </c>
      <c r="E239" s="203" t="str">
        <f t="shared" si="17"/>
        <v/>
      </c>
    </row>
    <row r="240" spans="2:5" x14ac:dyDescent="0.25">
      <c r="B240" s="204" t="str">
        <f>IF(176&lt;=$C$10,176,"")</f>
        <v/>
      </c>
      <c r="C240" s="205" t="str">
        <f t="shared" ca="1" si="15"/>
        <v/>
      </c>
      <c r="D240" s="204" t="str">
        <f t="shared" si="16"/>
        <v/>
      </c>
      <c r="E240" s="203" t="str">
        <f t="shared" si="17"/>
        <v/>
      </c>
    </row>
    <row r="241" spans="2:5" x14ac:dyDescent="0.25">
      <c r="B241" s="204" t="str">
        <f>IF(177&lt;=$C$10,177,"")</f>
        <v/>
      </c>
      <c r="C241" s="205" t="str">
        <f t="shared" ca="1" si="15"/>
        <v/>
      </c>
      <c r="D241" s="204" t="str">
        <f t="shared" si="16"/>
        <v/>
      </c>
      <c r="E241" s="203" t="str">
        <f t="shared" si="17"/>
        <v/>
      </c>
    </row>
    <row r="242" spans="2:5" x14ac:dyDescent="0.25">
      <c r="B242" s="204" t="str">
        <f>IF(178&lt;=$C$10,178,"")</f>
        <v/>
      </c>
      <c r="C242" s="205" t="str">
        <f t="shared" ca="1" si="15"/>
        <v/>
      </c>
      <c r="D242" s="204" t="str">
        <f t="shared" si="16"/>
        <v/>
      </c>
      <c r="E242" s="203" t="str">
        <f t="shared" si="17"/>
        <v/>
      </c>
    </row>
    <row r="243" spans="2:5" x14ac:dyDescent="0.25">
      <c r="B243" s="204" t="str">
        <f>IF(179&lt;=$C$10,179,"")</f>
        <v/>
      </c>
      <c r="C243" s="205" t="str">
        <f t="shared" ca="1" si="15"/>
        <v/>
      </c>
      <c r="D243" s="204" t="str">
        <f t="shared" si="16"/>
        <v/>
      </c>
      <c r="E243" s="203" t="str">
        <f t="shared" si="17"/>
        <v/>
      </c>
    </row>
    <row r="244" spans="2:5" x14ac:dyDescent="0.25">
      <c r="B244" s="204" t="str">
        <f>IF(180&lt;=$C$10,180,"")</f>
        <v/>
      </c>
      <c r="C244" s="205" t="str">
        <f t="shared" ca="1" si="15"/>
        <v/>
      </c>
      <c r="D244" s="204" t="str">
        <f t="shared" si="16"/>
        <v/>
      </c>
      <c r="E244" s="203" t="str">
        <f t="shared" si="17"/>
        <v/>
      </c>
    </row>
    <row r="245" spans="2:5" x14ac:dyDescent="0.25">
      <c r="B245" s="204" t="str">
        <f>IF(181&lt;=$C$10,181,"")</f>
        <v/>
      </c>
      <c r="C245" s="205" t="str">
        <f t="shared" ca="1" si="15"/>
        <v/>
      </c>
      <c r="D245" s="204" t="str">
        <f t="shared" si="16"/>
        <v/>
      </c>
      <c r="E245" s="203" t="str">
        <f t="shared" si="17"/>
        <v/>
      </c>
    </row>
    <row r="246" spans="2:5" x14ac:dyDescent="0.25">
      <c r="B246" s="204" t="str">
        <f>IF(182&lt;=$C$10,182,"")</f>
        <v/>
      </c>
      <c r="C246" s="205" t="str">
        <f t="shared" ca="1" si="15"/>
        <v/>
      </c>
      <c r="D246" s="204" t="str">
        <f t="shared" si="16"/>
        <v/>
      </c>
      <c r="E246" s="203" t="str">
        <f t="shared" si="17"/>
        <v/>
      </c>
    </row>
    <row r="247" spans="2:5" x14ac:dyDescent="0.25">
      <c r="B247" s="204" t="str">
        <f>IF(183&lt;=$C$10,183,"")</f>
        <v/>
      </c>
      <c r="C247" s="205" t="str">
        <f t="shared" ca="1" si="15"/>
        <v/>
      </c>
      <c r="D247" s="204" t="str">
        <f t="shared" si="16"/>
        <v/>
      </c>
      <c r="E247" s="203" t="str">
        <f t="shared" si="17"/>
        <v/>
      </c>
    </row>
    <row r="248" spans="2:5" x14ac:dyDescent="0.25">
      <c r="B248" s="204" t="str">
        <f>IF(184&lt;=$C$10,184,"")</f>
        <v/>
      </c>
      <c r="C248" s="205" t="str">
        <f t="shared" ca="1" si="15"/>
        <v/>
      </c>
      <c r="D248" s="204" t="str">
        <f t="shared" si="16"/>
        <v/>
      </c>
      <c r="E248" s="203" t="str">
        <f t="shared" si="17"/>
        <v/>
      </c>
    </row>
    <row r="249" spans="2:5" x14ac:dyDescent="0.25">
      <c r="B249" s="204" t="str">
        <f>IF(185&lt;=$C$10,185,"")</f>
        <v/>
      </c>
      <c r="C249" s="205" t="str">
        <f t="shared" ca="1" si="15"/>
        <v/>
      </c>
      <c r="D249" s="204" t="str">
        <f t="shared" si="16"/>
        <v/>
      </c>
      <c r="E249" s="203" t="str">
        <f t="shared" si="17"/>
        <v/>
      </c>
    </row>
    <row r="250" spans="2:5" x14ac:dyDescent="0.25">
      <c r="B250" s="204" t="str">
        <f>IF(186&lt;=$C$10,186,"")</f>
        <v/>
      </c>
      <c r="C250" s="205" t="str">
        <f t="shared" ca="1" si="15"/>
        <v/>
      </c>
      <c r="D250" s="204" t="str">
        <f t="shared" si="16"/>
        <v/>
      </c>
      <c r="E250" s="203" t="str">
        <f t="shared" si="17"/>
        <v/>
      </c>
    </row>
    <row r="251" spans="2:5" x14ac:dyDescent="0.25">
      <c r="B251" s="204" t="str">
        <f>IF(187&lt;=$C$10,187,"")</f>
        <v/>
      </c>
      <c r="C251" s="205" t="str">
        <f t="shared" ca="1" si="15"/>
        <v/>
      </c>
      <c r="D251" s="204" t="str">
        <f t="shared" si="16"/>
        <v/>
      </c>
      <c r="E251" s="203" t="str">
        <f t="shared" si="17"/>
        <v/>
      </c>
    </row>
    <row r="252" spans="2:5" x14ac:dyDescent="0.25">
      <c r="B252" s="204" t="str">
        <f>IF(188&lt;=$C$10,188,"")</f>
        <v/>
      </c>
      <c r="C252" s="205" t="str">
        <f t="shared" ca="1" si="15"/>
        <v/>
      </c>
      <c r="D252" s="204" t="str">
        <f t="shared" si="16"/>
        <v/>
      </c>
      <c r="E252" s="203" t="str">
        <f t="shared" si="17"/>
        <v/>
      </c>
    </row>
    <row r="253" spans="2:5" x14ac:dyDescent="0.25">
      <c r="B253" s="204" t="str">
        <f>IF(189&lt;=$C$10,189,"")</f>
        <v/>
      </c>
      <c r="C253" s="205" t="str">
        <f t="shared" ca="1" si="15"/>
        <v/>
      </c>
      <c r="D253" s="204" t="str">
        <f t="shared" si="16"/>
        <v/>
      </c>
      <c r="E253" s="203" t="str">
        <f t="shared" si="17"/>
        <v/>
      </c>
    </row>
    <row r="254" spans="2:5" x14ac:dyDescent="0.25">
      <c r="B254" s="204" t="str">
        <f>IF(190&lt;=$C$10,190,"")</f>
        <v/>
      </c>
      <c r="C254" s="205" t="str">
        <f t="shared" ca="1" si="15"/>
        <v/>
      </c>
      <c r="D254" s="204" t="str">
        <f t="shared" si="16"/>
        <v/>
      </c>
      <c r="E254" s="203" t="str">
        <f t="shared" si="17"/>
        <v/>
      </c>
    </row>
    <row r="255" spans="2:5" x14ac:dyDescent="0.25">
      <c r="B255" s="204" t="str">
        <f>IF(191&lt;=$C$10,191,"")</f>
        <v/>
      </c>
      <c r="C255" s="205" t="str">
        <f t="shared" ca="1" si="15"/>
        <v/>
      </c>
      <c r="D255" s="204" t="str">
        <f t="shared" si="16"/>
        <v/>
      </c>
      <c r="E255" s="203" t="str">
        <f t="shared" si="17"/>
        <v/>
      </c>
    </row>
    <row r="256" spans="2:5" x14ac:dyDescent="0.25">
      <c r="B256" s="204" t="str">
        <f>IF(192&lt;=$C$10,192,"")</f>
        <v/>
      </c>
      <c r="C256" s="205" t="str">
        <f t="shared" ca="1" si="15"/>
        <v/>
      </c>
      <c r="D256" s="204" t="str">
        <f t="shared" si="16"/>
        <v/>
      </c>
      <c r="E256" s="203" t="str">
        <f t="shared" si="17"/>
        <v/>
      </c>
    </row>
    <row r="257" spans="2:21" x14ac:dyDescent="0.25">
      <c r="B257" s="204" t="str">
        <f>IF(193&lt;=$C$10,193,"")</f>
        <v/>
      </c>
      <c r="C257" s="205" t="str">
        <f t="shared" ref="C257:C264" ca="1" si="18">IF(B257="","",RAND())</f>
        <v/>
      </c>
      <c r="D257" s="204" t="str">
        <f t="shared" ref="D257:D264" si="19">IF(B257="","",RANK(C257,$C$65:$C$264,1))</f>
        <v/>
      </c>
      <c r="E257" s="203" t="str">
        <f t="shared" ref="E257:E264" si="20">IF(B257="","",IF(D257&lt;=$C$11,"Selectionne - "&amp;INDEX($B$15:$U$15,D257),"Reserve"))</f>
        <v/>
      </c>
    </row>
    <row r="258" spans="2:21" x14ac:dyDescent="0.25">
      <c r="B258" s="204" t="str">
        <f>IF(194&lt;=$C$10,194,"")</f>
        <v/>
      </c>
      <c r="C258" s="205" t="str">
        <f t="shared" ca="1" si="18"/>
        <v/>
      </c>
      <c r="D258" s="204" t="str">
        <f t="shared" si="19"/>
        <v/>
      </c>
      <c r="E258" s="203" t="str">
        <f t="shared" si="20"/>
        <v/>
      </c>
    </row>
    <row r="259" spans="2:21" x14ac:dyDescent="0.25">
      <c r="B259" s="204" t="str">
        <f>IF(195&lt;=$C$10,195,"")</f>
        <v/>
      </c>
      <c r="C259" s="205" t="str">
        <f t="shared" ca="1" si="18"/>
        <v/>
      </c>
      <c r="D259" s="204" t="str">
        <f t="shared" si="19"/>
        <v/>
      </c>
      <c r="E259" s="203" t="str">
        <f t="shared" si="20"/>
        <v/>
      </c>
    </row>
    <row r="260" spans="2:21" x14ac:dyDescent="0.25">
      <c r="B260" s="204" t="str">
        <f>IF(196&lt;=$C$10,196,"")</f>
        <v/>
      </c>
      <c r="C260" s="205" t="str">
        <f t="shared" ca="1" si="18"/>
        <v/>
      </c>
      <c r="D260" s="204" t="str">
        <f t="shared" si="19"/>
        <v/>
      </c>
      <c r="E260" s="203" t="str">
        <f t="shared" si="20"/>
        <v/>
      </c>
    </row>
    <row r="261" spans="2:21" x14ac:dyDescent="0.25">
      <c r="B261" s="204" t="str">
        <f>IF(197&lt;=$C$10,197,"")</f>
        <v/>
      </c>
      <c r="C261" s="205" t="str">
        <f t="shared" ca="1" si="18"/>
        <v/>
      </c>
      <c r="D261" s="204" t="str">
        <f t="shared" si="19"/>
        <v/>
      </c>
      <c r="E261" s="203" t="str">
        <f t="shared" si="20"/>
        <v/>
      </c>
    </row>
    <row r="262" spans="2:21" x14ac:dyDescent="0.25">
      <c r="B262" s="204" t="str">
        <f>IF(198&lt;=$C$10,198,"")</f>
        <v/>
      </c>
      <c r="C262" s="205" t="str">
        <f t="shared" ca="1" si="18"/>
        <v/>
      </c>
      <c r="D262" s="204" t="str">
        <f t="shared" si="19"/>
        <v/>
      </c>
      <c r="E262" s="203" t="str">
        <f t="shared" si="20"/>
        <v/>
      </c>
    </row>
    <row r="263" spans="2:21" x14ac:dyDescent="0.25">
      <c r="B263" s="204" t="str">
        <f>IF(199&lt;=$C$10,199,"")</f>
        <v/>
      </c>
      <c r="C263" s="205" t="str">
        <f t="shared" ca="1" si="18"/>
        <v/>
      </c>
      <c r="D263" s="204" t="str">
        <f t="shared" si="19"/>
        <v/>
      </c>
      <c r="E263" s="203" t="str">
        <f t="shared" si="20"/>
        <v/>
      </c>
    </row>
    <row r="264" spans="2:21" x14ac:dyDescent="0.25">
      <c r="B264" s="204" t="str">
        <f>IF(200&lt;=$C$10,200,"")</f>
        <v/>
      </c>
      <c r="C264" s="205" t="str">
        <f t="shared" ca="1" si="18"/>
        <v/>
      </c>
      <c r="D264" s="204" t="str">
        <f t="shared" si="19"/>
        <v/>
      </c>
      <c r="E264" s="203" t="str">
        <f t="shared" si="20"/>
        <v/>
      </c>
    </row>
    <row r="266" spans="2:21" ht="15" customHeight="1" x14ac:dyDescent="0.25">
      <c r="B266" s="275" t="s">
        <v>287</v>
      </c>
      <c r="C266" s="275"/>
      <c r="D266" s="275"/>
      <c r="E266" s="275"/>
      <c r="F266" s="275"/>
      <c r="G266" s="275"/>
      <c r="H266" s="275"/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  <c r="S266" s="275"/>
      <c r="T266" s="275"/>
      <c r="U266" s="275"/>
    </row>
    <row r="267" spans="2:21" x14ac:dyDescent="0.25">
      <c r="B267" s="275"/>
      <c r="C267" s="275"/>
      <c r="D267" s="275"/>
      <c r="E267" s="275"/>
      <c r="F267" s="275"/>
      <c r="G267" s="275"/>
      <c r="H267" s="275"/>
      <c r="I267" s="275"/>
      <c r="J267" s="275"/>
      <c r="K267" s="275"/>
      <c r="L267" s="275"/>
      <c r="M267" s="275"/>
      <c r="N267" s="275"/>
      <c r="O267" s="275"/>
      <c r="P267" s="275"/>
      <c r="Q267" s="275"/>
      <c r="R267" s="275"/>
      <c r="S267" s="275"/>
      <c r="T267" s="275"/>
      <c r="U267" s="275"/>
    </row>
    <row r="268" spans="2:21" x14ac:dyDescent="0.25"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75"/>
      <c r="P268" s="275"/>
      <c r="Q268" s="275"/>
      <c r="R268" s="275"/>
      <c r="S268" s="275"/>
      <c r="T268" s="275"/>
      <c r="U268" s="275"/>
    </row>
    <row r="269" spans="2:21" x14ac:dyDescent="0.25"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75"/>
      <c r="P269" s="275"/>
      <c r="Q269" s="275"/>
      <c r="R269" s="275"/>
      <c r="S269" s="275"/>
      <c r="T269" s="275"/>
      <c r="U269" s="275"/>
    </row>
  </sheetData>
  <mergeCells count="15">
    <mergeCell ref="V2:X4"/>
    <mergeCell ref="C28:W30"/>
    <mergeCell ref="B14:U14"/>
    <mergeCell ref="B18:U18"/>
    <mergeCell ref="B20:U22"/>
    <mergeCell ref="B63:U63"/>
    <mergeCell ref="B266:U269"/>
    <mergeCell ref="B2:D4"/>
    <mergeCell ref="E2:U4"/>
    <mergeCell ref="B7:U7"/>
    <mergeCell ref="B9:D9"/>
    <mergeCell ref="C10:D10"/>
    <mergeCell ref="E10:U12"/>
    <mergeCell ref="C11:D11"/>
    <mergeCell ref="B12:D12"/>
  </mergeCells>
  <conditionalFormatting sqref="E10:E12">
    <cfRule type="expression" dxfId="246" priority="1">
      <formula>LEFT(E10,2)="OK"</formula>
    </cfRule>
    <cfRule type="expression" dxfId="245" priority="2">
      <formula>LEFT(E10,2)="Im"</formula>
    </cfRule>
    <cfRule type="expression" dxfId="244" priority="3">
      <formula>LEFT(E10,1)="N"</formula>
    </cfRule>
  </conditionalFormatting>
  <conditionalFormatting sqref="E65:E264">
    <cfRule type="expression" dxfId="243" priority="4">
      <formula>LEFT(E65,1)="S"</formula>
    </cfRule>
    <cfRule type="expression" dxfId="242" priority="5">
      <formula>E65="Reserve"</formula>
    </cfRule>
  </conditionalFormatting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9CFA-1582-4F39-963B-CD1029721055}">
  <sheetPr>
    <pageSetUpPr fitToPage="1"/>
  </sheetPr>
  <dimension ref="A1:AL194"/>
  <sheetViews>
    <sheetView topLeftCell="A133" zoomScale="63" zoomScaleNormal="63" workbookViewId="0">
      <selection activeCell="R148" sqref="R148"/>
    </sheetView>
  </sheetViews>
  <sheetFormatPr baseColWidth="10" defaultColWidth="9.140625" defaultRowHeight="15" x14ac:dyDescent="0.25"/>
  <cols>
    <col min="1" max="1" width="5" customWidth="1"/>
    <col min="2" max="2" width="16" customWidth="1"/>
    <col min="3" max="3" width="19.42578125" customWidth="1"/>
    <col min="4" max="4" width="17" customWidth="1"/>
    <col min="5" max="5" width="14.28515625" customWidth="1"/>
    <col min="6" max="6" width="15.140625" customWidth="1"/>
    <col min="7" max="7" width="16.7109375" customWidth="1"/>
    <col min="8" max="8" width="15.7109375" customWidth="1"/>
    <col min="9" max="9" width="15.42578125" customWidth="1"/>
    <col min="10" max="10" width="16.85546875" customWidth="1"/>
    <col min="11" max="11" width="17" customWidth="1"/>
    <col min="12" max="12" width="14.42578125" customWidth="1"/>
    <col min="13" max="13" width="14.28515625" customWidth="1"/>
    <col min="14" max="14" width="15.5703125" customWidth="1"/>
    <col min="15" max="15" width="16.5703125" customWidth="1"/>
    <col min="16" max="16" width="15.140625" customWidth="1"/>
    <col min="17" max="17" width="15.85546875" customWidth="1"/>
    <col min="18" max="18" width="16.7109375" customWidth="1"/>
    <col min="19" max="19" width="15.85546875" customWidth="1"/>
    <col min="20" max="20" width="16.5703125" customWidth="1"/>
    <col min="21" max="21" width="15.85546875" customWidth="1"/>
    <col min="22" max="22" width="12.140625" customWidth="1"/>
    <col min="23" max="23" width="13" customWidth="1"/>
    <col min="24" max="24" width="13.28515625" customWidth="1"/>
    <col min="25" max="25" width="12" customWidth="1"/>
    <col min="26" max="26" width="11.28515625" customWidth="1"/>
    <col min="27" max="27" width="12.7109375" customWidth="1"/>
    <col min="28" max="28" width="11.5703125" customWidth="1"/>
    <col min="29" max="29" width="12.28515625" customWidth="1"/>
    <col min="30" max="30" width="12.140625" customWidth="1"/>
    <col min="31" max="31" width="12.5703125" customWidth="1"/>
    <col min="32" max="32" width="10.5703125" customWidth="1"/>
  </cols>
  <sheetData>
    <row r="1" spans="2:32" ht="18.75" customHeight="1" thickBot="1" x14ac:dyDescent="0.3">
      <c r="AF1" t="s">
        <v>19</v>
      </c>
    </row>
    <row r="2" spans="2:32" ht="22.5" customHeight="1" x14ac:dyDescent="0.25">
      <c r="B2" s="213"/>
      <c r="C2" s="214"/>
      <c r="D2" s="215"/>
      <c r="E2" s="276" t="s">
        <v>17</v>
      </c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84" t="s">
        <v>318</v>
      </c>
      <c r="Z2" s="284"/>
      <c r="AA2" s="284"/>
      <c r="AB2" s="87"/>
      <c r="AC2" s="87"/>
      <c r="AD2" s="87"/>
      <c r="AF2" t="s">
        <v>21</v>
      </c>
    </row>
    <row r="3" spans="2:32" ht="18" customHeight="1" x14ac:dyDescent="0.25">
      <c r="B3" s="216"/>
      <c r="C3" s="217"/>
      <c r="D3" s="218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85"/>
      <c r="Z3" s="285"/>
      <c r="AA3" s="285"/>
      <c r="AB3" s="87"/>
      <c r="AC3" s="87"/>
      <c r="AD3" s="87"/>
      <c r="AF3" t="s">
        <v>19</v>
      </c>
    </row>
    <row r="4" spans="2:32" ht="18.75" customHeight="1" thickBot="1" x14ac:dyDescent="0.3">
      <c r="B4" s="219"/>
      <c r="C4" s="220"/>
      <c r="D4" s="221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86"/>
      <c r="Z4" s="286"/>
      <c r="AA4" s="286"/>
      <c r="AB4" s="87"/>
      <c r="AC4" s="87"/>
      <c r="AD4" s="87"/>
      <c r="AF4" t="s">
        <v>24</v>
      </c>
    </row>
    <row r="5" spans="2:32" ht="19.5" customHeight="1" thickBot="1" x14ac:dyDescent="0.3"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/>
      <c r="W5" s="6"/>
      <c r="AF5" t="s">
        <v>27</v>
      </c>
    </row>
    <row r="6" spans="2:32" ht="19.5" customHeight="1" x14ac:dyDescent="0.25">
      <c r="C6" s="4"/>
      <c r="D6" s="4"/>
      <c r="E6" s="557" t="s">
        <v>153</v>
      </c>
      <c r="F6" s="558"/>
      <c r="G6" s="558"/>
      <c r="H6" s="558"/>
      <c r="I6" s="558"/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9"/>
    </row>
    <row r="7" spans="2:32" ht="19.5" customHeight="1" thickBot="1" x14ac:dyDescent="0.3">
      <c r="C7" s="4"/>
      <c r="D7" s="4"/>
      <c r="E7" s="560"/>
      <c r="F7" s="561"/>
      <c r="G7" s="561"/>
      <c r="H7" s="561"/>
      <c r="I7" s="561"/>
      <c r="J7" s="561"/>
      <c r="K7" s="561"/>
      <c r="L7" s="561"/>
      <c r="M7" s="561"/>
      <c r="N7" s="561"/>
      <c r="O7" s="561"/>
      <c r="P7" s="561"/>
      <c r="Q7" s="561"/>
      <c r="R7" s="561"/>
      <c r="S7" s="561"/>
      <c r="T7" s="561"/>
      <c r="U7" s="561"/>
      <c r="V7" s="561"/>
      <c r="W7" s="561"/>
      <c r="X7" s="562"/>
    </row>
    <row r="8" spans="2:32" ht="19.5" customHeight="1" thickBot="1" x14ac:dyDescent="0.3">
      <c r="C8" s="4"/>
      <c r="U8" s="5"/>
      <c r="V8" s="6"/>
      <c r="W8" s="6"/>
      <c r="AF8" t="s">
        <v>236</v>
      </c>
    </row>
    <row r="9" spans="2:32" ht="19.5" customHeight="1" x14ac:dyDescent="0.25">
      <c r="E9" s="546" t="s">
        <v>14</v>
      </c>
      <c r="F9" s="547"/>
      <c r="G9" s="547"/>
      <c r="H9" s="547"/>
      <c r="I9" s="547"/>
      <c r="J9" s="547"/>
      <c r="K9" s="547"/>
      <c r="L9" s="547"/>
      <c r="M9" s="547"/>
      <c r="N9" s="547"/>
      <c r="O9" s="548"/>
      <c r="P9" s="548"/>
      <c r="Q9" s="548"/>
      <c r="R9" s="548"/>
      <c r="S9" s="548"/>
      <c r="T9" s="548"/>
      <c r="U9" s="548"/>
      <c r="V9" s="548"/>
      <c r="W9" s="548"/>
      <c r="X9" s="549"/>
      <c r="Y9" s="5"/>
      <c r="Z9" s="5"/>
      <c r="AA9" s="6"/>
      <c r="AB9" s="6"/>
      <c r="AC9" s="6"/>
      <c r="AD9" s="6"/>
      <c r="AE9" s="6"/>
      <c r="AF9" t="s">
        <v>173</v>
      </c>
    </row>
    <row r="10" spans="2:32" ht="19.5" customHeight="1" x14ac:dyDescent="0.25">
      <c r="E10" s="550" t="s">
        <v>10</v>
      </c>
      <c r="F10" s="551"/>
      <c r="G10" s="551"/>
      <c r="H10" s="551"/>
      <c r="I10" s="551"/>
      <c r="J10" s="551"/>
      <c r="K10" s="551"/>
      <c r="L10" s="551"/>
      <c r="M10" s="551"/>
      <c r="N10" s="551"/>
      <c r="O10" s="552"/>
      <c r="P10" s="552"/>
      <c r="Q10" s="552"/>
      <c r="R10" s="552"/>
      <c r="S10" s="552"/>
      <c r="T10" s="552"/>
      <c r="U10" s="552"/>
      <c r="V10" s="552"/>
      <c r="W10" s="552"/>
      <c r="X10" s="553"/>
      <c r="Y10" s="5"/>
      <c r="Z10" s="5"/>
      <c r="AA10" s="6"/>
      <c r="AB10" s="6"/>
      <c r="AC10" s="6"/>
      <c r="AD10" s="6"/>
      <c r="AE10" s="6"/>
      <c r="AF10" t="s">
        <v>35</v>
      </c>
    </row>
    <row r="11" spans="2:32" ht="18.75" customHeight="1" x14ac:dyDescent="0.25">
      <c r="E11" s="550" t="s">
        <v>23</v>
      </c>
      <c r="F11" s="551"/>
      <c r="G11" s="551"/>
      <c r="H11" s="551"/>
      <c r="I11" s="551"/>
      <c r="J11" s="551"/>
      <c r="K11" s="551"/>
      <c r="L11" s="551"/>
      <c r="M11" s="551"/>
      <c r="N11" s="551"/>
      <c r="O11" s="552"/>
      <c r="P11" s="552"/>
      <c r="Q11" s="552"/>
      <c r="R11" s="552"/>
      <c r="S11" s="552"/>
      <c r="T11" s="552"/>
      <c r="U11" s="552"/>
      <c r="V11" s="552"/>
      <c r="W11" s="552"/>
      <c r="X11" s="553"/>
      <c r="Y11" s="5"/>
      <c r="Z11" s="5"/>
      <c r="AA11" s="6"/>
      <c r="AB11" s="6"/>
      <c r="AC11" s="6"/>
      <c r="AD11" s="6"/>
      <c r="AE11" s="6"/>
      <c r="AF11" t="s">
        <v>36</v>
      </c>
    </row>
    <row r="12" spans="2:32" ht="49.5" customHeight="1" thickBot="1" x14ac:dyDescent="0.3">
      <c r="E12" s="566" t="s">
        <v>111</v>
      </c>
      <c r="F12" s="567"/>
      <c r="G12" s="567"/>
      <c r="H12" s="567"/>
      <c r="I12" s="567"/>
      <c r="J12" s="567"/>
      <c r="K12" s="567"/>
      <c r="L12" s="567"/>
      <c r="M12" s="567"/>
      <c r="N12" s="568"/>
      <c r="O12" s="569" t="s">
        <v>87</v>
      </c>
      <c r="P12" s="570"/>
      <c r="Q12" s="570"/>
      <c r="R12" s="570"/>
      <c r="S12" s="570"/>
      <c r="T12" s="570"/>
      <c r="U12" s="570"/>
      <c r="V12" s="570"/>
      <c r="W12" s="570"/>
      <c r="X12" s="571"/>
      <c r="Y12" s="5"/>
      <c r="Z12" s="5"/>
      <c r="AA12" s="6"/>
      <c r="AB12" s="6"/>
      <c r="AC12" s="6"/>
      <c r="AD12" s="6"/>
      <c r="AE12" s="6"/>
      <c r="AF12" t="s">
        <v>199</v>
      </c>
    </row>
    <row r="13" spans="2:32" ht="18.75" customHeight="1" thickBot="1" x14ac:dyDescent="0.3">
      <c r="C13" s="4"/>
      <c r="D13" s="4"/>
      <c r="E13" s="4"/>
      <c r="F13" s="7"/>
      <c r="G13" s="7"/>
      <c r="H13" s="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6"/>
      <c r="X13" s="6"/>
      <c r="AF13" t="s">
        <v>200</v>
      </c>
    </row>
    <row r="14" spans="2:32" ht="43.5" customHeight="1" thickBot="1" x14ac:dyDescent="0.3">
      <c r="B14" s="448" t="s">
        <v>74</v>
      </c>
      <c r="C14" s="449"/>
      <c r="D14" s="449"/>
      <c r="E14" s="449"/>
      <c r="F14" s="449"/>
      <c r="G14" s="449"/>
      <c r="H14" s="449"/>
      <c r="I14" s="449"/>
      <c r="J14" s="449"/>
      <c r="K14" s="449"/>
      <c r="L14" s="449"/>
      <c r="M14" s="449"/>
      <c r="N14" s="449"/>
      <c r="O14" s="449"/>
      <c r="P14" s="449"/>
      <c r="Q14" s="449"/>
      <c r="R14" s="449"/>
      <c r="S14" s="449"/>
      <c r="T14" s="449"/>
      <c r="U14" s="449"/>
      <c r="V14" s="449"/>
      <c r="W14" s="449"/>
      <c r="X14" s="449"/>
      <c r="Y14" s="449"/>
      <c r="Z14" s="449"/>
      <c r="AA14" s="450"/>
      <c r="AB14" s="86"/>
      <c r="AC14" s="86"/>
      <c r="AD14" s="86"/>
      <c r="AF14" t="s">
        <v>38</v>
      </c>
    </row>
    <row r="15" spans="2:32" ht="19.5" customHeight="1" x14ac:dyDescent="0.25">
      <c r="AF15" t="s">
        <v>39</v>
      </c>
    </row>
    <row r="16" spans="2:32" ht="19.5" customHeight="1" x14ac:dyDescent="0.35">
      <c r="B16" s="8" t="s">
        <v>75</v>
      </c>
      <c r="C16" s="554" t="s">
        <v>54</v>
      </c>
      <c r="D16" s="555"/>
      <c r="E16" s="556"/>
      <c r="F16" s="375"/>
      <c r="G16" s="572"/>
      <c r="H16" s="573"/>
      <c r="AF16" t="s">
        <v>40</v>
      </c>
    </row>
    <row r="17" spans="2:32" ht="18.75" customHeight="1" x14ac:dyDescent="0.25">
      <c r="C17" s="554" t="s">
        <v>15</v>
      </c>
      <c r="D17" s="555"/>
      <c r="E17" s="556"/>
      <c r="F17" s="10" t="str">
        <f>IF(D23="","",COUNT(D23:D42))</f>
        <v/>
      </c>
      <c r="G17" s="11"/>
      <c r="AF17" t="s">
        <v>41</v>
      </c>
    </row>
    <row r="18" spans="2:32" ht="21" customHeight="1" x14ac:dyDescent="0.25">
      <c r="C18" s="554" t="s">
        <v>16</v>
      </c>
      <c r="D18" s="555"/>
      <c r="E18" s="556"/>
      <c r="F18" s="9" t="str">
        <f>IF(D23="","",COUNT(D23:I23))</f>
        <v/>
      </c>
      <c r="G18" s="11"/>
      <c r="AF18" t="s">
        <v>42</v>
      </c>
    </row>
    <row r="19" spans="2:32" ht="18.75" customHeight="1" x14ac:dyDescent="0.25">
      <c r="AF19" t="s">
        <v>45</v>
      </c>
    </row>
    <row r="20" spans="2:32" ht="18.75" customHeight="1" thickBot="1" x14ac:dyDescent="0.4">
      <c r="B20" s="563" t="s">
        <v>28</v>
      </c>
      <c r="C20" s="563" t="s">
        <v>20</v>
      </c>
      <c r="D20" s="532" t="s">
        <v>0</v>
      </c>
      <c r="E20" s="532" t="s">
        <v>1</v>
      </c>
      <c r="F20" s="532" t="s">
        <v>203</v>
      </c>
      <c r="G20" s="532" t="s">
        <v>204</v>
      </c>
      <c r="H20" s="532" t="s">
        <v>205</v>
      </c>
      <c r="I20" s="532" t="s">
        <v>206</v>
      </c>
      <c r="J20" s="532" t="s">
        <v>22</v>
      </c>
      <c r="K20" s="532" t="s">
        <v>2</v>
      </c>
      <c r="L20" s="70"/>
      <c r="M20" s="12"/>
      <c r="T20" s="8" t="s">
        <v>89</v>
      </c>
      <c r="AF20" t="s">
        <v>44</v>
      </c>
    </row>
    <row r="21" spans="2:32" ht="18.75" customHeight="1" x14ac:dyDescent="0.35">
      <c r="B21" s="564"/>
      <c r="C21" s="564"/>
      <c r="D21" s="533"/>
      <c r="E21" s="533"/>
      <c r="F21" s="533"/>
      <c r="G21" s="533"/>
      <c r="H21" s="533"/>
      <c r="I21" s="533"/>
      <c r="J21" s="533"/>
      <c r="K21" s="533"/>
      <c r="L21" s="70"/>
      <c r="M21" s="12"/>
      <c r="T21" s="523" t="s">
        <v>252</v>
      </c>
      <c r="U21" s="524"/>
      <c r="V21" s="524"/>
      <c r="W21" s="524"/>
      <c r="X21" s="524"/>
      <c r="Y21" s="524"/>
      <c r="Z21" s="525"/>
      <c r="AA21" s="195"/>
      <c r="AB21" s="195"/>
      <c r="AC21" s="195"/>
      <c r="AD21" s="195"/>
      <c r="AF21" t="s">
        <v>47</v>
      </c>
    </row>
    <row r="22" spans="2:32" ht="19.5" customHeight="1" x14ac:dyDescent="0.25">
      <c r="B22" s="565"/>
      <c r="C22" s="565"/>
      <c r="D22" s="534"/>
      <c r="E22" s="534"/>
      <c r="F22" s="534"/>
      <c r="G22" s="534"/>
      <c r="H22" s="534"/>
      <c r="I22" s="534"/>
      <c r="J22" s="534"/>
      <c r="K22" s="534"/>
      <c r="L22" s="70"/>
      <c r="M22" s="12"/>
      <c r="T22" s="526"/>
      <c r="U22" s="527"/>
      <c r="V22" s="527"/>
      <c r="W22" s="527"/>
      <c r="X22" s="527"/>
      <c r="Y22" s="527"/>
      <c r="Z22" s="528"/>
      <c r="AA22" s="194"/>
      <c r="AB22" s="194"/>
      <c r="AC22" s="194"/>
      <c r="AD22" s="194"/>
      <c r="AF22" t="s">
        <v>46</v>
      </c>
    </row>
    <row r="23" spans="2:32" ht="18" customHeight="1" x14ac:dyDescent="0.25">
      <c r="B23" s="1"/>
      <c r="C23" s="1" t="s">
        <v>260</v>
      </c>
      <c r="D23" s="2"/>
      <c r="E23" s="2"/>
      <c r="F23" s="2"/>
      <c r="G23" s="2"/>
      <c r="H23" s="2"/>
      <c r="I23" s="2"/>
      <c r="J23" s="14" t="str">
        <f t="shared" ref="J23:J42" si="0">IF(D23="","",(1/$F$18)*SUM(D23:I23))</f>
        <v/>
      </c>
      <c r="K23" s="15" t="str">
        <f t="shared" ref="K23:K42" si="1">IF(D23="","",(1/($F$18-1))*DEVSQ(D23:I23))</f>
        <v/>
      </c>
      <c r="L23" s="69"/>
      <c r="T23" s="529"/>
      <c r="U23" s="530"/>
      <c r="V23" s="530"/>
      <c r="W23" s="530"/>
      <c r="X23" s="530"/>
      <c r="Y23" s="530"/>
      <c r="Z23" s="531"/>
      <c r="AA23" s="194"/>
      <c r="AB23" s="194"/>
      <c r="AC23" s="194"/>
      <c r="AD23" s="194"/>
      <c r="AF23" t="s">
        <v>61</v>
      </c>
    </row>
    <row r="24" spans="2:32" ht="18" customHeight="1" thickBot="1" x14ac:dyDescent="0.3">
      <c r="B24" s="1"/>
      <c r="C24" s="1" t="s">
        <v>261</v>
      </c>
      <c r="D24" s="2"/>
      <c r="E24" s="2"/>
      <c r="F24" s="2"/>
      <c r="G24" s="2"/>
      <c r="H24" s="2"/>
      <c r="I24" s="2"/>
      <c r="J24" s="14" t="str">
        <f t="shared" si="0"/>
        <v/>
      </c>
      <c r="K24" s="15" t="str">
        <f t="shared" si="1"/>
        <v/>
      </c>
      <c r="L24" s="69"/>
      <c r="R24" s="16"/>
      <c r="T24" s="574"/>
      <c r="U24" s="575"/>
      <c r="V24" s="575"/>
      <c r="W24" s="575"/>
      <c r="X24" s="575"/>
      <c r="Y24" s="575"/>
      <c r="Z24" s="576"/>
      <c r="AA24" s="194"/>
      <c r="AB24" s="194"/>
      <c r="AC24" s="194"/>
      <c r="AD24" s="194"/>
      <c r="AF24" t="s">
        <v>62</v>
      </c>
    </row>
    <row r="25" spans="2:32" ht="19.5" customHeight="1" x14ac:dyDescent="0.25">
      <c r="B25" s="1"/>
      <c r="C25" s="1" t="s">
        <v>262</v>
      </c>
      <c r="D25" s="2"/>
      <c r="E25" s="2"/>
      <c r="F25" s="2"/>
      <c r="G25" s="2"/>
      <c r="H25" s="2"/>
      <c r="I25" s="2"/>
      <c r="J25" s="14" t="str">
        <f t="shared" si="0"/>
        <v/>
      </c>
      <c r="K25" s="15" t="str">
        <f t="shared" si="1"/>
        <v/>
      </c>
      <c r="L25" s="69"/>
      <c r="T25" s="517" t="str">
        <f>IF(T22=AF2, "Indiquer le numéro de la fiche d'action", "")</f>
        <v/>
      </c>
      <c r="U25" s="518"/>
      <c r="V25" s="518"/>
      <c r="W25" s="518"/>
      <c r="X25" s="518"/>
      <c r="Y25" s="518"/>
      <c r="Z25" s="519"/>
      <c r="AA25" s="196"/>
      <c r="AB25" s="196"/>
      <c r="AC25" s="196"/>
      <c r="AD25" s="196"/>
    </row>
    <row r="26" spans="2:32" ht="18.75" customHeight="1" thickBot="1" x14ac:dyDescent="0.3">
      <c r="B26" s="1"/>
      <c r="C26" s="1" t="s">
        <v>263</v>
      </c>
      <c r="D26" s="2"/>
      <c r="E26" s="2"/>
      <c r="F26" s="2"/>
      <c r="G26" s="2"/>
      <c r="H26" s="2"/>
      <c r="I26" s="2"/>
      <c r="J26" s="14" t="str">
        <f t="shared" si="0"/>
        <v/>
      </c>
      <c r="K26" s="15" t="str">
        <f t="shared" si="1"/>
        <v/>
      </c>
      <c r="L26" s="69"/>
      <c r="T26" s="520"/>
      <c r="U26" s="521"/>
      <c r="V26" s="521"/>
      <c r="W26" s="521"/>
      <c r="X26" s="521"/>
      <c r="Y26" s="521"/>
      <c r="Z26" s="522"/>
      <c r="AA26" s="65"/>
      <c r="AB26" s="65"/>
      <c r="AC26" s="65"/>
      <c r="AD26" s="65"/>
      <c r="AF26" t="s">
        <v>86</v>
      </c>
    </row>
    <row r="27" spans="2:32" ht="19.5" customHeight="1" x14ac:dyDescent="0.25">
      <c r="B27" s="1"/>
      <c r="C27" s="1" t="s">
        <v>264</v>
      </c>
      <c r="D27" s="2"/>
      <c r="E27" s="2"/>
      <c r="F27" s="2"/>
      <c r="G27" s="2"/>
      <c r="H27" s="2"/>
      <c r="I27" s="2"/>
      <c r="J27" s="14" t="str">
        <f t="shared" si="0"/>
        <v/>
      </c>
      <c r="K27" s="15" t="str">
        <f t="shared" si="1"/>
        <v/>
      </c>
      <c r="L27" s="69"/>
      <c r="AF27" t="s">
        <v>87</v>
      </c>
    </row>
    <row r="28" spans="2:32" ht="18" customHeight="1" x14ac:dyDescent="0.25">
      <c r="B28" s="1"/>
      <c r="C28" s="1" t="s">
        <v>265</v>
      </c>
      <c r="D28" s="2"/>
      <c r="E28" s="2"/>
      <c r="F28" s="2"/>
      <c r="G28" s="2"/>
      <c r="H28" s="2"/>
      <c r="I28" s="2"/>
      <c r="J28" s="14" t="str">
        <f t="shared" si="0"/>
        <v/>
      </c>
      <c r="K28" s="15" t="str">
        <f t="shared" si="1"/>
        <v/>
      </c>
      <c r="L28" s="69"/>
    </row>
    <row r="29" spans="2:32" ht="18" customHeight="1" x14ac:dyDescent="0.25">
      <c r="B29" s="1"/>
      <c r="C29" s="1" t="s">
        <v>266</v>
      </c>
      <c r="D29" s="2"/>
      <c r="E29" s="2"/>
      <c r="F29" s="2"/>
      <c r="G29" s="2"/>
      <c r="H29" s="2"/>
      <c r="I29" s="2"/>
      <c r="J29" s="14" t="str">
        <f t="shared" si="0"/>
        <v/>
      </c>
      <c r="K29" s="15" t="str">
        <f t="shared" si="1"/>
        <v/>
      </c>
      <c r="L29" s="69"/>
    </row>
    <row r="30" spans="2:32" ht="18" customHeight="1" x14ac:dyDescent="0.25">
      <c r="B30" s="1"/>
      <c r="C30" s="1" t="s">
        <v>267</v>
      </c>
      <c r="D30" s="2"/>
      <c r="E30" s="2"/>
      <c r="F30" s="2"/>
      <c r="G30" s="2"/>
      <c r="H30" s="2"/>
      <c r="I30" s="2"/>
      <c r="J30" s="14" t="str">
        <f>IF(D30="","",(1/$F$18)*SUM(D30:I30))</f>
        <v/>
      </c>
      <c r="K30" s="15" t="str">
        <f>IF(D30="","",(1/($F$18-1))*DEVSQ(D30:I30))</f>
        <v/>
      </c>
      <c r="L30" s="69"/>
    </row>
    <row r="31" spans="2:32" ht="18" customHeight="1" x14ac:dyDescent="0.25">
      <c r="B31" s="1"/>
      <c r="C31" s="1" t="s">
        <v>268</v>
      </c>
      <c r="D31" s="2"/>
      <c r="E31" s="2"/>
      <c r="F31" s="2"/>
      <c r="G31" s="2"/>
      <c r="H31" s="2"/>
      <c r="I31" s="2"/>
      <c r="J31" s="14" t="str">
        <f>IF(D31="","",(1/$F$18)*SUM(D31:I31))</f>
        <v/>
      </c>
      <c r="K31" s="15" t="str">
        <f>IF(D31="","",(1/($F$18-1))*DEVSQ(D31:I31))</f>
        <v/>
      </c>
      <c r="L31" s="69"/>
    </row>
    <row r="32" spans="2:32" ht="18" customHeight="1" x14ac:dyDescent="0.25">
      <c r="B32" s="1"/>
      <c r="C32" s="1" t="s">
        <v>269</v>
      </c>
      <c r="D32" s="2"/>
      <c r="E32" s="2"/>
      <c r="F32" s="2"/>
      <c r="G32" s="2"/>
      <c r="H32" s="2"/>
      <c r="I32" s="2"/>
      <c r="J32" s="14" t="str">
        <f t="shared" si="0"/>
        <v/>
      </c>
      <c r="K32" s="15" t="str">
        <f t="shared" si="1"/>
        <v/>
      </c>
      <c r="L32" s="69"/>
    </row>
    <row r="33" spans="2:28" ht="18" customHeight="1" thickBot="1" x14ac:dyDescent="0.4">
      <c r="B33" s="1"/>
      <c r="C33" s="1"/>
      <c r="D33" s="2"/>
      <c r="E33" s="2"/>
      <c r="F33" s="2"/>
      <c r="G33" s="2"/>
      <c r="H33" s="2"/>
      <c r="I33" s="2"/>
      <c r="J33" s="14" t="str">
        <f t="shared" si="0"/>
        <v/>
      </c>
      <c r="K33" s="15" t="str">
        <f t="shared" si="1"/>
        <v/>
      </c>
      <c r="L33" s="69"/>
      <c r="T33" s="8" t="s">
        <v>90</v>
      </c>
    </row>
    <row r="34" spans="2:28" ht="18" customHeight="1" x14ac:dyDescent="0.35">
      <c r="B34" s="1"/>
      <c r="C34" s="1"/>
      <c r="D34" s="2"/>
      <c r="E34" s="2"/>
      <c r="F34" s="2"/>
      <c r="G34" s="2"/>
      <c r="H34" s="2"/>
      <c r="I34" s="2"/>
      <c r="J34" s="14" t="str">
        <f t="shared" si="0"/>
        <v/>
      </c>
      <c r="K34" s="15" t="str">
        <f t="shared" si="1"/>
        <v/>
      </c>
      <c r="L34" s="69"/>
      <c r="T34" s="523" t="s">
        <v>26</v>
      </c>
      <c r="U34" s="524"/>
      <c r="V34" s="524"/>
      <c r="W34" s="524"/>
      <c r="X34" s="524"/>
      <c r="Y34" s="524"/>
      <c r="Z34" s="525"/>
    </row>
    <row r="35" spans="2:28" ht="18" customHeight="1" x14ac:dyDescent="0.25">
      <c r="B35" s="1"/>
      <c r="C35" s="1"/>
      <c r="D35" s="2"/>
      <c r="E35" s="2"/>
      <c r="F35" s="2"/>
      <c r="G35" s="2"/>
      <c r="H35" s="2"/>
      <c r="I35" s="2"/>
      <c r="J35" s="14" t="str">
        <f t="shared" si="0"/>
        <v/>
      </c>
      <c r="K35" s="15" t="str">
        <f t="shared" si="1"/>
        <v/>
      </c>
      <c r="L35" s="69"/>
      <c r="T35" s="526"/>
      <c r="U35" s="527"/>
      <c r="V35" s="527"/>
      <c r="W35" s="527"/>
      <c r="X35" s="527"/>
      <c r="Y35" s="527"/>
      <c r="Z35" s="528"/>
    </row>
    <row r="36" spans="2:28" ht="18" customHeight="1" x14ac:dyDescent="0.25">
      <c r="B36" s="1"/>
      <c r="C36" s="1"/>
      <c r="D36" s="2"/>
      <c r="E36" s="2"/>
      <c r="F36" s="2"/>
      <c r="G36" s="2"/>
      <c r="H36" s="2"/>
      <c r="I36" s="2"/>
      <c r="J36" s="14" t="str">
        <f t="shared" si="0"/>
        <v/>
      </c>
      <c r="K36" s="15" t="str">
        <f t="shared" si="1"/>
        <v/>
      </c>
      <c r="L36" s="69"/>
      <c r="T36" s="529"/>
      <c r="U36" s="530"/>
      <c r="V36" s="530"/>
      <c r="W36" s="530"/>
      <c r="X36" s="530"/>
      <c r="Y36" s="530"/>
      <c r="Z36" s="531"/>
    </row>
    <row r="37" spans="2:28" ht="18" customHeight="1" thickBot="1" x14ac:dyDescent="0.3">
      <c r="B37" s="1"/>
      <c r="C37" s="1"/>
      <c r="D37" s="2"/>
      <c r="E37" s="2"/>
      <c r="F37" s="2"/>
      <c r="G37" s="2"/>
      <c r="H37" s="2"/>
      <c r="I37" s="2"/>
      <c r="J37" s="14" t="str">
        <f t="shared" si="0"/>
        <v/>
      </c>
      <c r="K37" s="15" t="str">
        <f t="shared" si="1"/>
        <v/>
      </c>
      <c r="L37" s="69"/>
      <c r="T37" s="529"/>
      <c r="U37" s="530"/>
      <c r="V37" s="530"/>
      <c r="W37" s="530"/>
      <c r="X37" s="530"/>
      <c r="Y37" s="530"/>
      <c r="Z37" s="531"/>
    </row>
    <row r="38" spans="2:28" ht="18" customHeight="1" x14ac:dyDescent="0.25">
      <c r="B38" s="1"/>
      <c r="C38" s="1"/>
      <c r="D38" s="2"/>
      <c r="E38" s="2"/>
      <c r="F38" s="2"/>
      <c r="G38" s="2"/>
      <c r="H38" s="2"/>
      <c r="I38" s="2"/>
      <c r="J38" s="14" t="str">
        <f t="shared" si="0"/>
        <v/>
      </c>
      <c r="K38" s="15" t="str">
        <f t="shared" si="1"/>
        <v/>
      </c>
      <c r="L38" s="69"/>
      <c r="T38" s="517" t="str">
        <f>IF(T35=AF4, "Indiquer le numéro de la fiche d'action", "")</f>
        <v/>
      </c>
      <c r="U38" s="518"/>
      <c r="V38" s="518"/>
      <c r="W38" s="518"/>
      <c r="X38" s="518"/>
      <c r="Y38" s="518"/>
      <c r="Z38" s="519"/>
    </row>
    <row r="39" spans="2:28" ht="18" customHeight="1" thickBot="1" x14ac:dyDescent="0.3">
      <c r="B39" s="1"/>
      <c r="C39" s="1"/>
      <c r="D39" s="2"/>
      <c r="E39" s="2"/>
      <c r="F39" s="2"/>
      <c r="G39" s="2"/>
      <c r="H39" s="2"/>
      <c r="I39" s="2"/>
      <c r="J39" s="14" t="str">
        <f t="shared" si="0"/>
        <v/>
      </c>
      <c r="K39" s="15" t="str">
        <f t="shared" si="1"/>
        <v/>
      </c>
      <c r="L39" s="69"/>
      <c r="T39" s="520"/>
      <c r="U39" s="521"/>
      <c r="V39" s="521"/>
      <c r="W39" s="521"/>
      <c r="X39" s="521"/>
      <c r="Y39" s="521"/>
      <c r="Z39" s="522"/>
    </row>
    <row r="40" spans="2:28" ht="18.75" customHeight="1" x14ac:dyDescent="0.25">
      <c r="B40" s="1"/>
      <c r="C40" s="1"/>
      <c r="D40" s="2"/>
      <c r="E40" s="2"/>
      <c r="F40" s="2"/>
      <c r="G40" s="2"/>
      <c r="H40" s="2"/>
      <c r="I40" s="2"/>
      <c r="J40" s="14" t="str">
        <f t="shared" si="0"/>
        <v/>
      </c>
      <c r="K40" s="15" t="str">
        <f t="shared" si="1"/>
        <v/>
      </c>
      <c r="L40" s="69"/>
    </row>
    <row r="41" spans="2:28" ht="18.75" customHeight="1" x14ac:dyDescent="0.35">
      <c r="B41" s="1"/>
      <c r="C41" s="1"/>
      <c r="D41" s="2"/>
      <c r="E41" s="2"/>
      <c r="F41" s="2"/>
      <c r="G41" s="2"/>
      <c r="H41" s="2"/>
      <c r="I41" s="2"/>
      <c r="J41" s="14" t="str">
        <f t="shared" si="0"/>
        <v/>
      </c>
      <c r="K41" s="15" t="str">
        <f t="shared" si="1"/>
        <v/>
      </c>
      <c r="L41" s="69"/>
      <c r="T41" s="72"/>
      <c r="U41" s="72"/>
      <c r="V41" s="72"/>
    </row>
    <row r="42" spans="2:28" ht="21" customHeight="1" x14ac:dyDescent="0.25">
      <c r="B42" s="1"/>
      <c r="C42" s="1"/>
      <c r="D42" s="2"/>
      <c r="E42" s="2"/>
      <c r="F42" s="2"/>
      <c r="G42" s="2"/>
      <c r="H42" s="2"/>
      <c r="I42" s="2"/>
      <c r="J42" s="14" t="str">
        <f t="shared" si="0"/>
        <v/>
      </c>
      <c r="K42" s="15" t="str">
        <f t="shared" si="1"/>
        <v/>
      </c>
      <c r="L42" s="69"/>
    </row>
    <row r="43" spans="2:28" ht="21" customHeight="1" x14ac:dyDescent="0.25">
      <c r="B43" s="65"/>
      <c r="C43" s="65"/>
      <c r="D43" s="82"/>
      <c r="E43" s="82"/>
      <c r="F43" s="19"/>
      <c r="G43" s="19"/>
      <c r="H43" s="20"/>
      <c r="I43" s="20"/>
      <c r="J43" s="69"/>
      <c r="K43" s="69"/>
    </row>
    <row r="44" spans="2:28" ht="27.75" customHeight="1" thickBot="1" x14ac:dyDescent="0.4">
      <c r="C44" s="4"/>
      <c r="D44" s="17"/>
      <c r="T44" s="8" t="s">
        <v>156</v>
      </c>
    </row>
    <row r="45" spans="2:28" ht="36" customHeight="1" thickBot="1" x14ac:dyDescent="0.4">
      <c r="B45" s="8" t="s">
        <v>77</v>
      </c>
      <c r="C45" s="539" t="s">
        <v>25</v>
      </c>
      <c r="D45" s="540"/>
      <c r="E45" s="540"/>
      <c r="F45" s="540"/>
      <c r="G45" s="540"/>
      <c r="H45" s="540"/>
      <c r="I45" s="540"/>
      <c r="J45" s="541"/>
      <c r="L45" s="8"/>
      <c r="M45" s="74"/>
      <c r="N45" s="102"/>
      <c r="O45" s="74"/>
      <c r="P45" s="74"/>
      <c r="Q45" s="74"/>
      <c r="R45" s="74"/>
      <c r="S45" s="74"/>
      <c r="T45" s="508" t="s">
        <v>155</v>
      </c>
      <c r="U45" s="509"/>
      <c r="V45" s="509"/>
      <c r="W45" s="509"/>
      <c r="X45" s="509"/>
      <c r="Y45" s="509"/>
      <c r="Z45" s="510"/>
    </row>
    <row r="46" spans="2:28" ht="30" customHeight="1" x14ac:dyDescent="0.35">
      <c r="C46" s="535" t="s">
        <v>154</v>
      </c>
      <c r="D46" s="536"/>
      <c r="E46" s="536"/>
      <c r="F46" s="536"/>
      <c r="G46" s="536"/>
      <c r="H46" s="537" t="str">
        <f>IF(D23="","",SQRT(E54))</f>
        <v/>
      </c>
      <c r="I46" s="537"/>
      <c r="J46" s="538"/>
      <c r="M46" s="73"/>
      <c r="N46" s="73"/>
      <c r="O46" s="73"/>
      <c r="P46" s="73"/>
      <c r="Q46" s="73"/>
      <c r="R46" s="73"/>
      <c r="S46" s="73"/>
      <c r="T46" s="511" t="str">
        <f>'Test de cochran'!E50</f>
        <v/>
      </c>
      <c r="U46" s="512"/>
      <c r="V46" s="512"/>
      <c r="W46" s="512"/>
      <c r="X46" s="512"/>
      <c r="Y46" s="512"/>
      <c r="Z46" s="513"/>
      <c r="AA46" s="72"/>
    </row>
    <row r="47" spans="2:28" ht="30" customHeight="1" thickBot="1" x14ac:dyDescent="0.3">
      <c r="C47" s="542" t="s">
        <v>197</v>
      </c>
      <c r="D47" s="543"/>
      <c r="E47" s="543"/>
      <c r="F47" s="543"/>
      <c r="G47" s="543"/>
      <c r="H47" s="544" t="str">
        <f>IF(D23="","",IF(R53="σpt absolu",AVERAGE(R54:S60),IF(R53="σpt relatif",(AVERAGE(R54:S60)*E52),"")))</f>
        <v/>
      </c>
      <c r="I47" s="544"/>
      <c r="J47" s="545"/>
      <c r="M47" s="73"/>
      <c r="N47" s="73"/>
      <c r="O47" s="73"/>
      <c r="P47" s="73"/>
      <c r="Q47" s="73"/>
      <c r="R47" s="73"/>
      <c r="S47" s="73"/>
      <c r="T47" s="514"/>
      <c r="U47" s="515"/>
      <c r="V47" s="515"/>
      <c r="W47" s="515"/>
      <c r="X47" s="515"/>
      <c r="Y47" s="515"/>
      <c r="Z47" s="516"/>
    </row>
    <row r="48" spans="2:28" ht="33.75" customHeight="1" thickBot="1" x14ac:dyDescent="0.3">
      <c r="C48" s="577" t="s">
        <v>43</v>
      </c>
      <c r="D48" s="578"/>
      <c r="E48" s="578"/>
      <c r="F48" s="578"/>
      <c r="G48" s="578"/>
      <c r="H48" s="579" t="str">
        <f>IF(D23="","",IF((H46/H47)&lt;0.5,AF5,AF9))</f>
        <v/>
      </c>
      <c r="I48" s="579"/>
      <c r="J48" s="580"/>
      <c r="M48" s="65"/>
      <c r="N48" s="65"/>
      <c r="O48" s="65"/>
      <c r="P48" s="65"/>
      <c r="Q48" s="65"/>
      <c r="R48" s="71"/>
      <c r="AA48" s="217" t="s">
        <v>157</v>
      </c>
      <c r="AB48" s="217"/>
    </row>
    <row r="49" spans="2:38" ht="24.75" customHeight="1" x14ac:dyDescent="0.25">
      <c r="C49" s="78"/>
      <c r="D49" s="78"/>
      <c r="E49" s="78"/>
      <c r="F49" s="78"/>
      <c r="G49" s="78"/>
      <c r="H49" s="77"/>
      <c r="I49" s="77"/>
      <c r="J49" s="77"/>
      <c r="N49" s="67"/>
      <c r="O49" s="67"/>
      <c r="P49" s="67"/>
      <c r="Q49" s="67"/>
      <c r="R49" s="67"/>
      <c r="S49" s="66"/>
    </row>
    <row r="50" spans="2:38" ht="24.75" customHeight="1" thickBot="1" x14ac:dyDescent="0.3">
      <c r="C50" s="4"/>
      <c r="D50" s="18"/>
      <c r="E50" s="18"/>
      <c r="F50" s="18"/>
      <c r="G50" s="18"/>
      <c r="H50" s="18"/>
      <c r="I50" s="17"/>
      <c r="J50" s="17"/>
    </row>
    <row r="51" spans="2:38" ht="30" customHeight="1" thickBot="1" x14ac:dyDescent="0.4">
      <c r="B51" s="8" t="s">
        <v>78</v>
      </c>
      <c r="C51" s="604" t="s">
        <v>233</v>
      </c>
      <c r="D51" s="605"/>
      <c r="E51" s="605"/>
      <c r="F51" s="605"/>
      <c r="G51" s="605"/>
      <c r="H51" s="605"/>
      <c r="I51" s="605"/>
      <c r="J51" s="606"/>
      <c r="K51" s="92" t="s">
        <v>76</v>
      </c>
      <c r="L51" s="585" t="s">
        <v>34</v>
      </c>
      <c r="M51" s="586"/>
      <c r="N51" s="586"/>
      <c r="O51" s="586"/>
      <c r="P51" s="586"/>
      <c r="Q51" s="586"/>
      <c r="R51" s="586"/>
      <c r="S51" s="587"/>
    </row>
    <row r="52" spans="2:38" ht="24" thickBot="1" x14ac:dyDescent="0.4">
      <c r="B52" s="8"/>
      <c r="C52" s="588" t="s">
        <v>6</v>
      </c>
      <c r="D52" s="589"/>
      <c r="E52" s="590" t="str">
        <f>IF(D23="","",(1/$F$17)*SUM(J23:J42))</f>
        <v/>
      </c>
      <c r="F52" s="591"/>
      <c r="G52" s="19"/>
      <c r="L52" s="592" t="str">
        <f>IF(O11="","",O11)</f>
        <v/>
      </c>
      <c r="M52" s="593"/>
      <c r="N52" s="593"/>
      <c r="O52" s="593"/>
      <c r="P52" s="593"/>
      <c r="Q52" s="593"/>
      <c r="R52" s="593"/>
      <c r="S52" s="594"/>
    </row>
    <row r="53" spans="2:38" ht="22.5" customHeight="1" x14ac:dyDescent="0.25">
      <c r="C53" s="581" t="s">
        <v>8</v>
      </c>
      <c r="D53" s="582"/>
      <c r="E53" s="583" t="str">
        <f>IF(D23="","",1/($F$17-1)*DEVSQ(J23:J42))</f>
        <v/>
      </c>
      <c r="F53" s="584"/>
      <c r="G53" s="20"/>
      <c r="L53" s="595" t="s">
        <v>30</v>
      </c>
      <c r="M53" s="596"/>
      <c r="N53" s="596" t="s">
        <v>29</v>
      </c>
      <c r="O53" s="596"/>
      <c r="P53" s="597" t="s">
        <v>31</v>
      </c>
      <c r="Q53" s="598"/>
      <c r="R53" s="599" t="str">
        <f>IF(O12=AF26, "σpt absolu", IF(O12=AF27,"σpt relatif",""))</f>
        <v>σpt relatif</v>
      </c>
      <c r="S53" s="600"/>
    </row>
    <row r="54" spans="2:38" ht="23.25" customHeight="1" x14ac:dyDescent="0.25">
      <c r="C54" s="486" t="s">
        <v>9</v>
      </c>
      <c r="D54" s="487"/>
      <c r="E54" s="601" t="str">
        <f>IF(D23="","",1/$F$17*SUM(K23:K42))</f>
        <v/>
      </c>
      <c r="F54" s="602"/>
      <c r="G54" s="4"/>
      <c r="L54" s="494"/>
      <c r="M54" s="495"/>
      <c r="N54" s="495"/>
      <c r="O54" s="495"/>
      <c r="P54" s="496"/>
      <c r="Q54" s="497"/>
      <c r="R54" s="498"/>
      <c r="S54" s="499"/>
    </row>
    <row r="55" spans="2:38" ht="21" customHeight="1" thickBot="1" x14ac:dyDescent="0.3">
      <c r="C55" s="581" t="s">
        <v>207</v>
      </c>
      <c r="D55" s="582"/>
      <c r="E55" s="601" t="str">
        <f>IF(D23="","",E53+(1-1/$F$18)*E54)</f>
        <v/>
      </c>
      <c r="F55" s="603"/>
      <c r="G55" s="20"/>
      <c r="L55" s="494"/>
      <c r="M55" s="495"/>
      <c r="N55" s="495"/>
      <c r="O55" s="495"/>
      <c r="P55" s="496"/>
      <c r="Q55" s="497"/>
      <c r="R55" s="498"/>
      <c r="S55" s="499"/>
    </row>
    <row r="56" spans="2:38" ht="22.5" customHeight="1" x14ac:dyDescent="0.25">
      <c r="C56" s="581" t="s">
        <v>208</v>
      </c>
      <c r="D56" s="582"/>
      <c r="E56" s="601" t="str">
        <f>IF(D23="","",E53-((1/F18)*E54))</f>
        <v/>
      </c>
      <c r="F56" s="603"/>
      <c r="G56" s="4"/>
      <c r="H56" s="616" t="str">
        <f>IF(D23="","",IF(E57=0,"La variance intra-échantillon est supérieur à variance composée",""))</f>
        <v/>
      </c>
      <c r="I56" s="617"/>
      <c r="J56" s="618"/>
      <c r="L56" s="494"/>
      <c r="M56" s="495"/>
      <c r="N56" s="495"/>
      <c r="O56" s="495"/>
      <c r="P56" s="496"/>
      <c r="Q56" s="497"/>
      <c r="R56" s="498"/>
      <c r="S56" s="499"/>
    </row>
    <row r="57" spans="2:38" ht="23.25" customHeight="1" thickBot="1" x14ac:dyDescent="0.3">
      <c r="C57" s="490" t="s">
        <v>7</v>
      </c>
      <c r="D57" s="491"/>
      <c r="E57" s="492" t="str">
        <f>IF(D23="","",IF(E56&lt;0,0,SQRT(E56)))</f>
        <v/>
      </c>
      <c r="F57" s="493"/>
      <c r="G57" s="88"/>
      <c r="H57" s="619"/>
      <c r="I57" s="620"/>
      <c r="J57" s="621"/>
      <c r="L57" s="494"/>
      <c r="M57" s="495"/>
      <c r="N57" s="495"/>
      <c r="O57" s="495"/>
      <c r="P57" s="496"/>
      <c r="Q57" s="497"/>
      <c r="R57" s="498"/>
      <c r="S57" s="499"/>
    </row>
    <row r="58" spans="2:38" ht="21.75" customHeight="1" x14ac:dyDescent="0.25">
      <c r="C58" s="482" t="s">
        <v>59</v>
      </c>
      <c r="D58" s="483"/>
      <c r="E58" s="484" t="str">
        <f>IF(D23="","",(0.3*H47)^2)</f>
        <v/>
      </c>
      <c r="F58" s="485"/>
      <c r="G58" s="21"/>
      <c r="H58" s="21"/>
      <c r="I58" s="21"/>
      <c r="J58" s="21"/>
      <c r="L58" s="494"/>
      <c r="M58" s="495"/>
      <c r="N58" s="495"/>
      <c r="O58" s="495"/>
      <c r="P58" s="496"/>
      <c r="Q58" s="497"/>
      <c r="R58" s="498"/>
      <c r="S58" s="499"/>
    </row>
    <row r="59" spans="2:38" ht="23.25" customHeight="1" x14ac:dyDescent="0.25">
      <c r="C59" s="486" t="s">
        <v>57</v>
      </c>
      <c r="D59" s="487"/>
      <c r="E59" s="488" t="str">
        <f>IF(D23="","",CHIINV(0.05,F17-1)/(F17-1))</f>
        <v/>
      </c>
      <c r="F59" s="489"/>
      <c r="G59" s="21"/>
      <c r="H59" s="21"/>
      <c r="I59" s="21"/>
      <c r="J59" s="21"/>
      <c r="L59" s="494"/>
      <c r="M59" s="495"/>
      <c r="N59" s="495"/>
      <c r="O59" s="495"/>
      <c r="P59" s="496"/>
      <c r="Q59" s="497"/>
      <c r="R59" s="498"/>
      <c r="S59" s="499"/>
    </row>
    <row r="60" spans="2:38" ht="24" customHeight="1" thickBot="1" x14ac:dyDescent="0.3">
      <c r="C60" s="486" t="s">
        <v>58</v>
      </c>
      <c r="D60" s="487"/>
      <c r="E60" s="488" t="str">
        <f>IF(D23="","",(FINV(0.05,F17-1,F17*(F18-1))-1)/F18)</f>
        <v/>
      </c>
      <c r="F60" s="489"/>
      <c r="G60" s="21"/>
      <c r="H60" s="21"/>
      <c r="I60" s="21"/>
      <c r="J60" s="21"/>
      <c r="L60" s="502"/>
      <c r="M60" s="503"/>
      <c r="N60" s="503"/>
      <c r="O60" s="503"/>
      <c r="P60" s="504"/>
      <c r="Q60" s="505"/>
      <c r="R60" s="506"/>
      <c r="S60" s="507"/>
      <c r="W60" s="49"/>
      <c r="X60" s="49"/>
      <c r="Y60" s="49"/>
      <c r="Z60" s="49"/>
      <c r="AA60" s="16"/>
      <c r="AB60" s="16"/>
      <c r="AC60" s="16"/>
      <c r="AD60" s="16"/>
      <c r="AE60" s="16"/>
      <c r="AF60" s="16"/>
      <c r="AG60" s="16"/>
      <c r="AH60" s="16"/>
      <c r="AI60" s="16"/>
    </row>
    <row r="61" spans="2:38" ht="23.25" customHeight="1" thickBot="1" x14ac:dyDescent="0.3">
      <c r="C61" s="486" t="s">
        <v>60</v>
      </c>
      <c r="D61" s="487"/>
      <c r="E61" s="500" t="str">
        <f>IF(D23="","",(E59*E58)+(E60*E54))</f>
        <v/>
      </c>
      <c r="F61" s="501"/>
      <c r="G61" s="21"/>
    </row>
    <row r="62" spans="2:38" ht="26.25" customHeight="1" x14ac:dyDescent="0.35">
      <c r="B62" s="8"/>
      <c r="C62" s="433" t="s">
        <v>43</v>
      </c>
      <c r="D62" s="434"/>
      <c r="E62" s="434"/>
      <c r="F62" s="434"/>
      <c r="G62" s="435"/>
      <c r="H62" s="424" t="str">
        <f>IF(C63=AF23, "Suivre ISO13528:2022 paragraphe B.2.5 ", "")</f>
        <v/>
      </c>
      <c r="I62" s="425"/>
      <c r="J62" s="426"/>
      <c r="K62" s="22"/>
      <c r="L62" s="21"/>
      <c r="M62" s="21"/>
      <c r="N62" s="21"/>
      <c r="O62" s="21"/>
      <c r="P62" s="21"/>
      <c r="Q62" s="21"/>
      <c r="R62" s="21"/>
      <c r="S62" s="23"/>
      <c r="T62" s="23"/>
      <c r="U62" s="23"/>
      <c r="V62" s="23"/>
      <c r="W62" s="23"/>
      <c r="AH62" s="476" t="s">
        <v>198</v>
      </c>
      <c r="AI62" s="477"/>
      <c r="AJ62" s="477"/>
      <c r="AK62" s="477"/>
      <c r="AL62" s="478"/>
    </row>
    <row r="63" spans="2:38" ht="28.5" customHeight="1" thickBot="1" x14ac:dyDescent="0.3">
      <c r="C63" s="436" t="str">
        <f>IF(D23="","",IF(E57&gt;SQRT(E61),AF23,AF24))</f>
        <v/>
      </c>
      <c r="D63" s="437"/>
      <c r="E63" s="437"/>
      <c r="F63" s="437"/>
      <c r="G63" s="438"/>
      <c r="H63" s="427"/>
      <c r="I63" s="428"/>
      <c r="J63" s="429"/>
      <c r="K63" s="21"/>
      <c r="M63" s="24"/>
      <c r="N63" s="24"/>
      <c r="O63" s="21"/>
      <c r="P63" s="21"/>
      <c r="Q63" s="21"/>
      <c r="R63" s="21"/>
      <c r="AH63" s="479"/>
      <c r="AI63" s="480"/>
      <c r="AJ63" s="480"/>
      <c r="AK63" s="480"/>
      <c r="AL63" s="481"/>
    </row>
    <row r="64" spans="2:38" ht="26.25" customHeight="1" thickBot="1" x14ac:dyDescent="0.4">
      <c r="E64" s="90"/>
      <c r="F64" s="90"/>
      <c r="G64" s="90"/>
      <c r="H64" s="46"/>
      <c r="I64" s="46"/>
      <c r="J64" s="46"/>
      <c r="K64" s="21"/>
      <c r="L64" s="8" t="s">
        <v>202</v>
      </c>
      <c r="M64" s="25"/>
      <c r="N64" s="25"/>
      <c r="O64" s="34"/>
      <c r="P64" s="34"/>
      <c r="Q64" s="34"/>
      <c r="R64" s="34"/>
      <c r="AH64" s="26"/>
      <c r="AI64" s="27" t="s">
        <v>56</v>
      </c>
      <c r="AJ64" s="28" t="s">
        <v>57</v>
      </c>
      <c r="AK64" s="29" t="s">
        <v>58</v>
      </c>
    </row>
    <row r="65" spans="1:37" ht="22.5" customHeight="1" thickTop="1" thickBot="1" x14ac:dyDescent="0.3">
      <c r="E65" s="90"/>
      <c r="F65" s="90"/>
      <c r="G65" s="90"/>
      <c r="H65" s="46"/>
      <c r="I65" s="46"/>
      <c r="J65" s="46"/>
      <c r="K65" s="21"/>
      <c r="L65" s="607" t="s">
        <v>84</v>
      </c>
      <c r="M65" s="608"/>
      <c r="N65" s="609"/>
      <c r="O65" s="462" t="s">
        <v>172</v>
      </c>
      <c r="P65" s="463"/>
      <c r="Q65" s="463"/>
      <c r="R65" s="463"/>
      <c r="S65" s="464" t="str">
        <f>IF(H48="","",H48)</f>
        <v/>
      </c>
      <c r="T65" s="465"/>
      <c r="U65" s="465"/>
      <c r="V65" s="465"/>
      <c r="W65" s="465"/>
      <c r="X65" s="465"/>
      <c r="Y65" s="465"/>
      <c r="Z65" s="465"/>
      <c r="AA65" s="466"/>
      <c r="AI65" s="30">
        <v>20</v>
      </c>
      <c r="AJ65" s="31">
        <v>1.59</v>
      </c>
      <c r="AK65" s="32">
        <v>0.56999999999999995</v>
      </c>
    </row>
    <row r="66" spans="1:37" ht="34.5" customHeight="1" thickBot="1" x14ac:dyDescent="0.3">
      <c r="C66" s="439" t="str">
        <f>IF(C63=AF23,"Vérification du critère de la formule (18) de l'ISO 13528:2022 page 31 : Critère de tolérance d'une non homogénieté","")</f>
        <v/>
      </c>
      <c r="D66" s="440"/>
      <c r="E66" s="440"/>
      <c r="F66" s="440"/>
      <c r="G66" s="440"/>
      <c r="H66" s="440"/>
      <c r="I66" s="440"/>
      <c r="J66" s="441"/>
      <c r="L66" s="610"/>
      <c r="M66" s="611"/>
      <c r="N66" s="612"/>
      <c r="O66" s="622" t="s">
        <v>235</v>
      </c>
      <c r="P66" s="623"/>
      <c r="Q66" s="623"/>
      <c r="R66" s="623"/>
      <c r="S66" s="624" t="str">
        <f>IF(T22="","",T22)</f>
        <v/>
      </c>
      <c r="T66" s="625"/>
      <c r="U66" s="625"/>
      <c r="V66" s="625"/>
      <c r="W66" s="625"/>
      <c r="X66" s="625"/>
      <c r="Y66" s="625"/>
      <c r="Z66" s="625"/>
      <c r="AA66" s="626"/>
      <c r="AI66" s="30">
        <v>19</v>
      </c>
      <c r="AJ66" s="31">
        <v>1.6</v>
      </c>
      <c r="AK66" s="32">
        <v>0.59</v>
      </c>
    </row>
    <row r="67" spans="1:37" ht="61.5" customHeight="1" x14ac:dyDescent="0.25">
      <c r="C67" s="442" t="s">
        <v>234</v>
      </c>
      <c r="D67" s="443"/>
      <c r="E67" s="443"/>
      <c r="F67" s="443"/>
      <c r="G67" s="444"/>
      <c r="H67" s="459" t="str">
        <f>IF(C63=AF23,H47/SQRT(H47^2+E57^2),"")</f>
        <v/>
      </c>
      <c r="I67" s="460"/>
      <c r="J67" s="461"/>
      <c r="L67" s="610"/>
      <c r="M67" s="611"/>
      <c r="N67" s="612"/>
      <c r="O67" s="75" t="s">
        <v>64</v>
      </c>
      <c r="P67" s="76"/>
      <c r="Q67" s="76"/>
      <c r="R67" s="68"/>
      <c r="S67" s="451" t="str">
        <f>IF(T35="","",T35)</f>
        <v/>
      </c>
      <c r="T67" s="452"/>
      <c r="U67" s="452"/>
      <c r="V67" s="452"/>
      <c r="W67" s="452"/>
      <c r="X67" s="452"/>
      <c r="Y67" s="452"/>
      <c r="Z67" s="452"/>
      <c r="AA67" s="453"/>
      <c r="AI67" s="30">
        <v>18</v>
      </c>
      <c r="AJ67" s="31">
        <v>1.62</v>
      </c>
      <c r="AK67" s="32">
        <v>0.62</v>
      </c>
    </row>
    <row r="68" spans="1:37" ht="56.25" customHeight="1" thickBot="1" x14ac:dyDescent="0.3">
      <c r="C68" s="445" t="str">
        <f>IF(C63=AF23,"Décision :","")</f>
        <v/>
      </c>
      <c r="D68" s="446"/>
      <c r="E68" s="446"/>
      <c r="F68" s="446"/>
      <c r="G68" s="447"/>
      <c r="H68" s="629" t="str">
        <f>IF(C63=AF23,IF(AND(H67&gt;0.96,H67&lt;1),AF12,AF13),"")</f>
        <v/>
      </c>
      <c r="I68" s="630"/>
      <c r="J68" s="631"/>
      <c r="L68" s="610"/>
      <c r="M68" s="611"/>
      <c r="N68" s="612"/>
      <c r="O68" s="454" t="s">
        <v>88</v>
      </c>
      <c r="P68" s="455"/>
      <c r="Q68" s="455"/>
      <c r="R68" s="455"/>
      <c r="S68" s="456" t="str">
        <f>IF(T46="","",T46)</f>
        <v/>
      </c>
      <c r="T68" s="457"/>
      <c r="U68" s="457"/>
      <c r="V68" s="457"/>
      <c r="W68" s="457"/>
      <c r="X68" s="457"/>
      <c r="Y68" s="457"/>
      <c r="Z68" s="457"/>
      <c r="AA68" s="458"/>
      <c r="AI68" s="30">
        <v>17</v>
      </c>
      <c r="AJ68" s="31">
        <v>1.64</v>
      </c>
      <c r="AK68" s="32">
        <v>0.64</v>
      </c>
    </row>
    <row r="69" spans="1:37" ht="20.25" customHeight="1" x14ac:dyDescent="0.25">
      <c r="C69" s="91"/>
      <c r="D69" s="91"/>
      <c r="E69" s="91"/>
      <c r="F69" s="91"/>
      <c r="G69" s="91"/>
      <c r="H69" s="89"/>
      <c r="I69" s="89"/>
      <c r="J69" s="89"/>
      <c r="L69" s="610"/>
      <c r="M69" s="611"/>
      <c r="N69" s="612"/>
      <c r="O69" s="627" t="s">
        <v>63</v>
      </c>
      <c r="P69" s="628"/>
      <c r="Q69" s="628"/>
      <c r="R69" s="628"/>
      <c r="S69" s="473" t="str">
        <f>IF(C63="","",C63)</f>
        <v/>
      </c>
      <c r="T69" s="474"/>
      <c r="U69" s="474"/>
      <c r="V69" s="474"/>
      <c r="W69" s="474"/>
      <c r="X69" s="474"/>
      <c r="Y69" s="474"/>
      <c r="Z69" s="474"/>
      <c r="AA69" s="475"/>
      <c r="AI69" s="30">
        <v>16</v>
      </c>
      <c r="AJ69" s="31">
        <v>1.67</v>
      </c>
      <c r="AK69" s="32">
        <v>0.68</v>
      </c>
    </row>
    <row r="70" spans="1:37" ht="20.25" customHeight="1" thickBot="1" x14ac:dyDescent="0.3">
      <c r="C70" s="91"/>
      <c r="D70" s="91"/>
      <c r="E70" s="91"/>
      <c r="F70" s="91"/>
      <c r="G70" s="91"/>
      <c r="H70" s="89"/>
      <c r="I70" s="89"/>
      <c r="J70" s="89"/>
      <c r="L70" s="610"/>
      <c r="M70" s="611"/>
      <c r="N70" s="612"/>
      <c r="O70" s="304" t="s">
        <v>174</v>
      </c>
      <c r="P70" s="305"/>
      <c r="Q70" s="305"/>
      <c r="R70" s="305"/>
      <c r="S70" s="430" t="str">
        <f>IF(H68="","",H68)</f>
        <v/>
      </c>
      <c r="T70" s="431"/>
      <c r="U70" s="431"/>
      <c r="V70" s="431"/>
      <c r="W70" s="431"/>
      <c r="X70" s="431"/>
      <c r="Y70" s="431"/>
      <c r="Z70" s="431"/>
      <c r="AA70" s="432"/>
      <c r="AI70" s="30">
        <v>15</v>
      </c>
      <c r="AJ70" s="31">
        <v>1.69</v>
      </c>
      <c r="AK70" s="32">
        <v>0.71</v>
      </c>
    </row>
    <row r="71" spans="1:37" ht="20.25" customHeight="1" x14ac:dyDescent="0.25">
      <c r="C71" s="91"/>
      <c r="D71" s="91"/>
      <c r="E71" s="91"/>
      <c r="F71" s="91"/>
      <c r="G71" s="91"/>
      <c r="H71" s="89"/>
      <c r="I71" s="89"/>
      <c r="J71" s="89"/>
      <c r="L71" s="610"/>
      <c r="M71" s="611"/>
      <c r="N71" s="612"/>
      <c r="O71" s="340" t="s">
        <v>65</v>
      </c>
      <c r="P71" s="341"/>
      <c r="Q71" s="341"/>
      <c r="R71" s="342"/>
      <c r="S71" s="467" t="str">
        <f>IF(S65="","",IF(S69=AF24,"Les échantillons sont homogènes selon les critères de l'annexe B de la norme ISO 13528:2022, σpt est à utiliser pour évaluer la performance des participants",IF(AND(S69=AF23,S70=AF13),"L'échantillon n'est pas homogène il faut changer d'entité soumise à l'essai","Un des critères d'homogénéité décrit dans l'annexe B de la norme ISO 13528:2022 n'est pas respecté, σ'pt est à utiliser pour évaluer la performance des participants")))</f>
        <v/>
      </c>
      <c r="T71" s="468"/>
      <c r="U71" s="468"/>
      <c r="V71" s="468"/>
      <c r="W71" s="468"/>
      <c r="X71" s="468"/>
      <c r="Y71" s="468"/>
      <c r="Z71" s="468"/>
      <c r="AA71" s="469"/>
      <c r="AI71" s="30">
        <v>14</v>
      </c>
      <c r="AJ71" s="31">
        <v>1.72</v>
      </c>
      <c r="AK71" s="32">
        <v>0.75</v>
      </c>
    </row>
    <row r="72" spans="1:37" ht="20.25" customHeight="1" thickBot="1" x14ac:dyDescent="0.3">
      <c r="C72" s="91"/>
      <c r="D72" s="91"/>
      <c r="E72" s="91"/>
      <c r="F72" s="91"/>
      <c r="G72" s="91"/>
      <c r="H72" s="89"/>
      <c r="I72" s="89"/>
      <c r="J72" s="89"/>
      <c r="L72" s="613"/>
      <c r="M72" s="614"/>
      <c r="N72" s="615"/>
      <c r="O72" s="349"/>
      <c r="P72" s="350"/>
      <c r="Q72" s="350"/>
      <c r="R72" s="351"/>
      <c r="S72" s="470"/>
      <c r="T72" s="471"/>
      <c r="U72" s="471"/>
      <c r="V72" s="471"/>
      <c r="W72" s="471"/>
      <c r="X72" s="471"/>
      <c r="Y72" s="471"/>
      <c r="Z72" s="471"/>
      <c r="AA72" s="472"/>
      <c r="AI72" s="30">
        <v>13</v>
      </c>
      <c r="AJ72" s="31">
        <v>1.75</v>
      </c>
      <c r="AK72" s="32">
        <v>0.8</v>
      </c>
    </row>
    <row r="73" spans="1:37" ht="26.25" customHeight="1" thickTop="1" x14ac:dyDescent="0.25">
      <c r="C73" s="91"/>
      <c r="D73" s="91"/>
      <c r="E73" s="91"/>
      <c r="F73" s="91"/>
      <c r="G73" s="91"/>
      <c r="H73" s="89"/>
      <c r="I73" s="89"/>
      <c r="J73" s="89"/>
      <c r="L73" s="80"/>
      <c r="M73" s="80"/>
      <c r="N73" s="80"/>
      <c r="O73" s="81"/>
      <c r="P73" s="81"/>
      <c r="Q73" s="81"/>
      <c r="R73" s="81"/>
      <c r="S73" s="79"/>
      <c r="T73" s="79"/>
      <c r="U73" s="79"/>
      <c r="V73" s="79"/>
      <c r="W73" s="79"/>
      <c r="X73" s="79"/>
      <c r="Y73" s="79"/>
      <c r="Z73" s="79"/>
      <c r="AA73" s="79"/>
      <c r="AI73" s="30">
        <v>12</v>
      </c>
      <c r="AJ73" s="31">
        <v>1.79</v>
      </c>
      <c r="AK73" s="32">
        <v>0.86</v>
      </c>
    </row>
    <row r="74" spans="1:37" ht="28.5" customHeight="1" x14ac:dyDescent="0.35">
      <c r="B74" s="8"/>
      <c r="C74" s="91"/>
      <c r="D74" s="91"/>
      <c r="E74" s="91"/>
      <c r="F74" s="91"/>
      <c r="G74" s="91"/>
      <c r="H74" s="89"/>
      <c r="I74" s="89"/>
      <c r="J74" s="89"/>
      <c r="M74" s="78"/>
      <c r="N74" s="78"/>
      <c r="O74" s="78"/>
      <c r="P74" s="78"/>
      <c r="Q74" s="78"/>
      <c r="R74" s="77"/>
      <c r="S74" s="77"/>
      <c r="T74" s="77"/>
      <c r="U74" s="79"/>
      <c r="V74" s="79"/>
      <c r="W74" s="79"/>
      <c r="X74" s="79"/>
      <c r="Y74" s="79"/>
      <c r="Z74" s="79"/>
      <c r="AA74" s="79"/>
      <c r="AI74" s="30">
        <v>11</v>
      </c>
      <c r="AJ74" s="31">
        <v>1.83</v>
      </c>
      <c r="AK74" s="32">
        <v>0.93</v>
      </c>
    </row>
    <row r="75" spans="1:37" ht="28.5" customHeight="1" x14ac:dyDescent="0.25">
      <c r="C75" s="19"/>
      <c r="D75" s="19"/>
      <c r="E75" s="19"/>
      <c r="F75" s="19"/>
      <c r="G75" s="21"/>
      <c r="M75" s="78"/>
      <c r="N75" s="78"/>
      <c r="O75" s="78"/>
      <c r="P75" s="78"/>
      <c r="Q75" s="78"/>
      <c r="R75" s="77"/>
      <c r="S75" s="77"/>
      <c r="T75" s="77"/>
      <c r="U75" s="79"/>
      <c r="V75" s="79"/>
      <c r="W75" s="79"/>
      <c r="X75" s="79"/>
      <c r="Y75" s="79"/>
      <c r="Z75" s="79"/>
      <c r="AA75" s="79"/>
      <c r="AI75" s="30">
        <v>10</v>
      </c>
      <c r="AJ75" s="31">
        <v>1.88</v>
      </c>
      <c r="AK75" s="32">
        <v>1.01</v>
      </c>
    </row>
    <row r="76" spans="1:37" ht="31.5" customHeight="1" thickBot="1" x14ac:dyDescent="0.3">
      <c r="C76" s="19"/>
      <c r="D76" s="19"/>
      <c r="E76" s="19"/>
      <c r="F76" s="19"/>
      <c r="G76" s="21"/>
      <c r="L76" s="80"/>
      <c r="M76" s="80"/>
      <c r="N76" s="80"/>
      <c r="O76" s="81"/>
      <c r="P76" s="81"/>
      <c r="Q76" s="81"/>
      <c r="R76" s="81"/>
      <c r="S76" s="79"/>
      <c r="T76" s="79"/>
      <c r="U76" s="79"/>
      <c r="V76" s="79"/>
      <c r="W76" s="79"/>
      <c r="X76" s="79"/>
      <c r="Y76" s="79"/>
      <c r="Z76" s="79"/>
      <c r="AA76" s="79"/>
      <c r="AI76" s="30">
        <v>9</v>
      </c>
      <c r="AJ76" s="31">
        <v>1.94</v>
      </c>
      <c r="AK76" s="32">
        <v>1.1100000000000001</v>
      </c>
    </row>
    <row r="77" spans="1:37" ht="41.25" customHeight="1" thickBot="1" x14ac:dyDescent="0.3">
      <c r="B77" s="448" t="s">
        <v>79</v>
      </c>
      <c r="C77" s="449"/>
      <c r="D77" s="449"/>
      <c r="E77" s="449"/>
      <c r="F77" s="449"/>
      <c r="G77" s="449"/>
      <c r="H77" s="449"/>
      <c r="I77" s="449"/>
      <c r="J77" s="449"/>
      <c r="K77" s="449"/>
      <c r="L77" s="449"/>
      <c r="M77" s="449"/>
      <c r="N77" s="449"/>
      <c r="O77" s="449"/>
      <c r="P77" s="449"/>
      <c r="Q77" s="449"/>
      <c r="R77" s="449"/>
      <c r="S77" s="449"/>
      <c r="T77" s="449"/>
      <c r="U77" s="449"/>
      <c r="V77" s="449"/>
      <c r="W77" s="450"/>
      <c r="X77" s="34"/>
      <c r="AI77" s="30">
        <v>8</v>
      </c>
      <c r="AJ77" s="31">
        <v>2.0099999999999998</v>
      </c>
      <c r="AK77" s="32">
        <v>1.25</v>
      </c>
    </row>
    <row r="78" spans="1:37" ht="20.25" customHeight="1" thickBot="1" x14ac:dyDescent="0.3"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4"/>
      <c r="AI78" s="36">
        <v>7</v>
      </c>
      <c r="AJ78" s="37">
        <v>2.1</v>
      </c>
      <c r="AK78" s="38">
        <v>1.43</v>
      </c>
    </row>
    <row r="79" spans="1:37" ht="24" customHeight="1" thickBot="1" x14ac:dyDescent="0.3">
      <c r="B79" s="372" t="s">
        <v>91</v>
      </c>
      <c r="C79" s="373"/>
      <c r="D79" s="373"/>
      <c r="E79" s="373"/>
      <c r="F79" s="373"/>
      <c r="G79" s="373"/>
      <c r="H79" s="373"/>
      <c r="I79" s="373"/>
      <c r="J79" s="373"/>
      <c r="K79" s="373"/>
      <c r="L79" s="373"/>
      <c r="M79" s="373"/>
      <c r="N79" s="373"/>
      <c r="O79" s="373"/>
      <c r="P79" s="373"/>
      <c r="Q79" s="373"/>
      <c r="R79" s="373"/>
      <c r="S79" s="373"/>
      <c r="T79" s="373"/>
      <c r="U79" s="373"/>
      <c r="V79" s="373"/>
      <c r="W79" s="374"/>
      <c r="X79" s="34"/>
    </row>
    <row r="80" spans="1:37" ht="26.25" customHeight="1" x14ac:dyDescent="0.25">
      <c r="A80" s="33"/>
      <c r="B80" s="33"/>
    </row>
    <row r="81" spans="1:30" ht="22.5" customHeight="1" x14ac:dyDescent="0.35">
      <c r="A81" s="33"/>
      <c r="B81" s="8" t="s">
        <v>80</v>
      </c>
      <c r="C81" s="381" t="s">
        <v>32</v>
      </c>
      <c r="D81" s="382"/>
      <c r="E81" s="383"/>
      <c r="F81" s="375"/>
      <c r="G81" s="376"/>
      <c r="H81" s="377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4"/>
    </row>
    <row r="82" spans="1:30" ht="22.5" customHeight="1" x14ac:dyDescent="0.25">
      <c r="A82" s="33"/>
      <c r="B82" s="33"/>
      <c r="C82" s="381" t="s">
        <v>52</v>
      </c>
      <c r="D82" s="382"/>
      <c r="E82" s="383"/>
      <c r="F82" s="375"/>
      <c r="G82" s="376"/>
      <c r="H82" s="377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4"/>
    </row>
    <row r="83" spans="1:30" ht="21.75" customHeight="1" x14ac:dyDescent="0.25">
      <c r="A83" s="33"/>
      <c r="B83" s="33"/>
      <c r="C83" s="378" t="s">
        <v>201</v>
      </c>
      <c r="D83" s="379"/>
      <c r="E83" s="380"/>
      <c r="F83" s="187" t="str">
        <f>IF(K88="","",COUNT(K88:K91))</f>
        <v/>
      </c>
      <c r="G83" s="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  <row r="84" spans="1:30" ht="22.5" customHeight="1" x14ac:dyDescent="0.25">
      <c r="A84" s="33"/>
      <c r="B84" s="33"/>
      <c r="C84" s="381" t="s">
        <v>16</v>
      </c>
      <c r="D84" s="382"/>
      <c r="E84" s="383"/>
      <c r="F84" s="39" t="str">
        <f>IF(K88="","",COUNT(K88:P88))</f>
        <v/>
      </c>
      <c r="G84" s="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 spans="1:30" ht="22.5" customHeight="1" x14ac:dyDescent="0.35">
      <c r="A85" s="33"/>
      <c r="B85" s="33"/>
      <c r="C85" s="40"/>
      <c r="D85" s="40"/>
      <c r="E85" s="40"/>
      <c r="F85" s="40"/>
      <c r="G85" s="40"/>
      <c r="H85" s="40"/>
      <c r="I85" s="8" t="s">
        <v>81</v>
      </c>
      <c r="J85" s="40"/>
      <c r="K85" s="40"/>
      <c r="L85" s="40"/>
      <c r="M85" s="40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30" ht="33.75" customHeight="1" x14ac:dyDescent="0.25">
      <c r="A86" s="33"/>
      <c r="B86" s="97"/>
      <c r="C86" s="643" t="s">
        <v>209</v>
      </c>
      <c r="D86" s="643"/>
      <c r="E86" s="643"/>
      <c r="F86" s="643"/>
      <c r="G86" s="98"/>
      <c r="I86" s="641" t="s">
        <v>28</v>
      </c>
      <c r="J86" s="366" t="s">
        <v>53</v>
      </c>
      <c r="K86" s="367"/>
      <c r="L86" s="367"/>
      <c r="M86" s="367"/>
      <c r="N86" s="367"/>
      <c r="O86" s="367"/>
      <c r="P86" s="368"/>
      <c r="Q86" s="632" t="s">
        <v>210</v>
      </c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</row>
    <row r="87" spans="1:30" ht="22.5" customHeight="1" x14ac:dyDescent="0.25">
      <c r="A87" s="33"/>
      <c r="B87" s="97"/>
      <c r="C87" s="643"/>
      <c r="D87" s="643"/>
      <c r="E87" s="643"/>
      <c r="F87" s="643"/>
      <c r="G87" s="98"/>
      <c r="I87" s="642"/>
      <c r="J87" s="41" t="s">
        <v>4</v>
      </c>
      <c r="K87" s="13" t="s">
        <v>5</v>
      </c>
      <c r="L87" s="13" t="s">
        <v>1</v>
      </c>
      <c r="M87" s="13" t="s">
        <v>203</v>
      </c>
      <c r="N87" s="13" t="s">
        <v>204</v>
      </c>
      <c r="O87" s="13" t="s">
        <v>205</v>
      </c>
      <c r="P87" s="13" t="s">
        <v>206</v>
      </c>
      <c r="Q87" s="632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</row>
    <row r="88" spans="1:30" ht="25.5" customHeight="1" x14ac:dyDescent="0.25">
      <c r="A88" s="33"/>
      <c r="B88" s="7"/>
      <c r="C88" s="403" t="s">
        <v>3</v>
      </c>
      <c r="D88" s="633" t="str">
        <f>IF(D23="","",AVERAGE(D23:I42))</f>
        <v/>
      </c>
      <c r="E88" s="633"/>
      <c r="F88" s="633"/>
      <c r="G88" s="94"/>
      <c r="I88" s="3"/>
      <c r="J88" s="3" t="s">
        <v>270</v>
      </c>
      <c r="K88" s="2"/>
      <c r="L88" s="2"/>
      <c r="M88" s="99"/>
      <c r="N88" s="99"/>
      <c r="O88" s="99"/>
      <c r="P88" s="99"/>
      <c r="Q88" s="93" t="str">
        <f>IF(K88="","",(1/($F$84-1))*DEVSQ(K88:P88))</f>
        <v/>
      </c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</row>
    <row r="89" spans="1:30" ht="25.5" customHeight="1" x14ac:dyDescent="0.25">
      <c r="B89" s="7"/>
      <c r="C89" s="403"/>
      <c r="D89" s="633"/>
      <c r="E89" s="633"/>
      <c r="F89" s="633"/>
      <c r="G89" s="94"/>
      <c r="H89" s="16"/>
      <c r="I89" s="3"/>
      <c r="J89" s="3" t="s">
        <v>271</v>
      </c>
      <c r="K89" s="2"/>
      <c r="L89" s="2"/>
      <c r="M89" s="99"/>
      <c r="N89" s="99"/>
      <c r="O89" s="99"/>
      <c r="P89" s="99"/>
      <c r="Q89" s="93" t="str">
        <f>IF(K89="","",(1/($F$84-1))*DEVSQ(K89:P89))</f>
        <v/>
      </c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</row>
    <row r="90" spans="1:30" ht="24" customHeight="1" x14ac:dyDescent="0.25">
      <c r="A90" s="33"/>
      <c r="B90" s="7"/>
      <c r="C90" s="403" t="s">
        <v>253</v>
      </c>
      <c r="D90" s="634" t="str">
        <f>IF(D23="","",H46)</f>
        <v/>
      </c>
      <c r="E90" s="634"/>
      <c r="F90" s="634"/>
      <c r="G90" s="94"/>
      <c r="I90" s="3"/>
      <c r="J90" s="3"/>
      <c r="K90" s="2"/>
      <c r="L90" s="2"/>
      <c r="M90" s="99"/>
      <c r="N90" s="99"/>
      <c r="O90" s="99"/>
      <c r="P90" s="99"/>
      <c r="Q90" s="93" t="str">
        <f>IF(K90="","",(1/($F$84-1))*DEVSQ(K90:P90))</f>
        <v/>
      </c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</row>
    <row r="91" spans="1:30" ht="22.5" customHeight="1" x14ac:dyDescent="0.25">
      <c r="A91" s="33"/>
      <c r="B91" s="7"/>
      <c r="C91" s="403"/>
      <c r="D91" s="634"/>
      <c r="E91" s="634"/>
      <c r="F91" s="634"/>
      <c r="G91" s="94"/>
      <c r="I91" s="3"/>
      <c r="J91" s="3"/>
      <c r="K91" s="2"/>
      <c r="L91" s="2"/>
      <c r="M91" s="99"/>
      <c r="N91" s="99"/>
      <c r="O91" s="99"/>
      <c r="P91" s="99"/>
      <c r="Q91" s="93" t="str">
        <f>IF(K91="","",(1/($F$84-1))*DEVSQ(K91:P91))</f>
        <v/>
      </c>
      <c r="R91" s="35"/>
      <c r="S91" s="35"/>
      <c r="T91" s="35"/>
      <c r="U91" s="35"/>
      <c r="V91" s="35"/>
      <c r="W91" s="35"/>
      <c r="X91" s="35"/>
      <c r="Y91" s="35"/>
      <c r="Z91" s="35"/>
    </row>
    <row r="92" spans="1:30" ht="21.75" customHeight="1" x14ac:dyDescent="0.25">
      <c r="A92" s="33"/>
      <c r="B92" s="33"/>
      <c r="C92" s="7"/>
      <c r="D92" s="95"/>
      <c r="E92" s="95"/>
      <c r="J92" s="42" t="s">
        <v>3</v>
      </c>
      <c r="K92" s="360" t="str">
        <f>IF(K88="","",AVERAGE(K88:P91))</f>
        <v/>
      </c>
      <c r="L92" s="361"/>
      <c r="M92" s="361"/>
      <c r="N92" s="361"/>
      <c r="O92" s="361"/>
      <c r="P92" s="362"/>
      <c r="Q92" s="35"/>
      <c r="R92" s="35"/>
      <c r="S92" s="35"/>
      <c r="T92" s="35"/>
      <c r="U92" s="35"/>
      <c r="V92" s="35"/>
      <c r="W92" s="35"/>
    </row>
    <row r="93" spans="1:30" ht="21.75" customHeight="1" x14ac:dyDescent="0.25">
      <c r="A93" s="33"/>
      <c r="B93" s="33"/>
      <c r="C93" s="7"/>
      <c r="D93" s="95"/>
      <c r="E93" s="95"/>
      <c r="J93" s="42" t="s">
        <v>211</v>
      </c>
      <c r="K93" s="363" t="str">
        <f>IF(K88="","",SQRT(1/$F$83*SUM(Q88:Q91)))</f>
        <v/>
      </c>
      <c r="L93" s="364"/>
      <c r="M93" s="364"/>
      <c r="N93" s="364"/>
      <c r="O93" s="364"/>
      <c r="P93" s="365"/>
      <c r="Q93" s="35"/>
      <c r="R93" s="35"/>
      <c r="S93" s="35"/>
      <c r="T93" s="35"/>
      <c r="U93" s="35"/>
      <c r="V93" s="35"/>
      <c r="W93" s="35"/>
    </row>
    <row r="94" spans="1:30" ht="25.5" customHeight="1" thickBot="1" x14ac:dyDescent="0.3">
      <c r="A94" s="33"/>
      <c r="B94" s="33"/>
      <c r="C94" s="33"/>
      <c r="D94" s="33"/>
      <c r="E94" s="33"/>
      <c r="F94" s="33"/>
      <c r="G94" s="33"/>
      <c r="H94" s="33"/>
      <c r="L94" s="33"/>
      <c r="M94" s="33"/>
      <c r="N94" s="33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30" ht="37.5" customHeight="1" x14ac:dyDescent="0.25">
      <c r="B95" s="33"/>
      <c r="C95" s="404" t="s">
        <v>66</v>
      </c>
      <c r="D95" s="405"/>
      <c r="E95" s="405"/>
      <c r="F95" s="405"/>
      <c r="G95" s="46"/>
      <c r="H95" s="46"/>
      <c r="I95" s="46"/>
      <c r="J95" s="46"/>
      <c r="K95" s="391" t="s">
        <v>66</v>
      </c>
      <c r="L95" s="392"/>
      <c r="M95" s="392"/>
      <c r="N95" s="392"/>
      <c r="O95" s="393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30" ht="24" customHeight="1" x14ac:dyDescent="0.25">
      <c r="B96" s="33"/>
      <c r="C96" s="406" t="str">
        <f>IF(D88="","",H48)</f>
        <v/>
      </c>
      <c r="D96" s="407"/>
      <c r="E96" s="407"/>
      <c r="F96" s="407"/>
      <c r="G96" s="82"/>
      <c r="H96" s="82"/>
      <c r="I96" s="82"/>
      <c r="J96" s="82"/>
      <c r="K96" s="394" t="str">
        <f>IF(K88="","",IF((K93/E100)&lt;0.5,"Le rapport sr/σpt est inférieur à 0,5","Le rapport sr/σpt est supérieur ou égal à 0,5"))</f>
        <v/>
      </c>
      <c r="L96" s="395"/>
      <c r="M96" s="395"/>
      <c r="N96" s="395"/>
      <c r="O96" s="396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</row>
    <row r="97" spans="1:32" ht="24.75" customHeight="1" thickBot="1" x14ac:dyDescent="0.3">
      <c r="B97" s="33"/>
      <c r="C97" s="408"/>
      <c r="D97" s="409"/>
      <c r="E97" s="409"/>
      <c r="F97" s="409"/>
      <c r="G97" s="82"/>
      <c r="H97" s="82"/>
      <c r="I97" s="82"/>
      <c r="J97" s="82"/>
      <c r="K97" s="397"/>
      <c r="L97" s="398"/>
      <c r="M97" s="398"/>
      <c r="N97" s="398"/>
      <c r="O97" s="399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</row>
    <row r="98" spans="1:32" ht="24" customHeight="1" x14ac:dyDescent="0.25">
      <c r="A98" s="33"/>
      <c r="B98" s="33"/>
      <c r="C98" s="33"/>
      <c r="D98" s="33"/>
      <c r="E98" s="33"/>
      <c r="F98" s="33"/>
      <c r="G98" s="33"/>
      <c r="K98" s="33"/>
      <c r="L98" s="33"/>
      <c r="M98" s="33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</row>
    <row r="99" spans="1:32" ht="21" customHeight="1" x14ac:dyDescent="0.25">
      <c r="A99" s="33"/>
      <c r="B99" s="33"/>
      <c r="C99" s="33"/>
      <c r="D99" s="33"/>
      <c r="E99" s="33"/>
      <c r="F99" s="33"/>
      <c r="G99" s="33"/>
      <c r="K99" s="33"/>
      <c r="L99" s="33"/>
      <c r="M99" s="33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C99" s="35"/>
      <c r="AD99" s="35"/>
      <c r="AE99" s="35"/>
      <c r="AF99" s="35"/>
    </row>
    <row r="100" spans="1:32" ht="25.5" customHeight="1" thickBot="1" x14ac:dyDescent="0.3">
      <c r="A100" s="33"/>
      <c r="B100" s="33"/>
      <c r="C100" s="384" t="s">
        <v>197</v>
      </c>
      <c r="D100" s="385"/>
      <c r="E100" s="386" t="str">
        <f>IF(D88="","",H47)</f>
        <v/>
      </c>
      <c r="F100" s="387"/>
      <c r="G100" s="33"/>
      <c r="H100" s="33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C100" s="35"/>
      <c r="AD100" s="35"/>
      <c r="AE100" s="35"/>
      <c r="AF100" s="35"/>
    </row>
    <row r="101" spans="1:32" ht="33" customHeight="1" x14ac:dyDescent="0.25">
      <c r="A101" s="33"/>
      <c r="B101" s="33"/>
      <c r="C101" s="635" t="s">
        <v>68</v>
      </c>
      <c r="D101" s="636"/>
      <c r="E101" s="636"/>
      <c r="F101" s="636"/>
      <c r="G101" s="636"/>
      <c r="H101" s="637"/>
      <c r="I101" s="424" t="str">
        <f>IF(C102=AF18,"Utiliser Z'score pour l'évaluation de performance des  participants", "")</f>
        <v/>
      </c>
      <c r="J101" s="425"/>
      <c r="K101" s="426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C101" s="35"/>
      <c r="AD101" s="35"/>
      <c r="AE101" s="35"/>
      <c r="AF101" s="35"/>
    </row>
    <row r="102" spans="1:32" ht="23.25" customHeight="1" thickBot="1" x14ac:dyDescent="0.3">
      <c r="A102" s="33"/>
      <c r="B102" s="33"/>
      <c r="C102" s="638" t="str">
        <f>IF(OR(D88="",K92=""),"",IF(ABS(D88-K92)&lt;=(0.3*E100),"Les échantillons sont stables","Les échantillons ne sont pas stables"))</f>
        <v/>
      </c>
      <c r="D102" s="639"/>
      <c r="E102" s="639"/>
      <c r="F102" s="639"/>
      <c r="G102" s="639"/>
      <c r="H102" s="640"/>
      <c r="I102" s="427"/>
      <c r="J102" s="428"/>
      <c r="K102" s="42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 spans="1:32" ht="21.75" customHeight="1" x14ac:dyDescent="0.25">
      <c r="A103" s="33"/>
      <c r="B103" s="33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 spans="1:32" ht="15.75" x14ac:dyDescent="0.25">
      <c r="A104" s="33"/>
      <c r="B104" s="33"/>
      <c r="L104" s="35"/>
      <c r="M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 spans="1:32" ht="21" customHeight="1" thickBot="1" x14ac:dyDescent="0.3">
      <c r="A105" s="33"/>
      <c r="B105" s="33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 spans="1:32" ht="21.75" thickBot="1" x14ac:dyDescent="0.3">
      <c r="A106" s="33"/>
      <c r="B106" s="372" t="s">
        <v>92</v>
      </c>
      <c r="C106" s="373"/>
      <c r="D106" s="373"/>
      <c r="E106" s="373"/>
      <c r="F106" s="373"/>
      <c r="G106" s="373"/>
      <c r="H106" s="373"/>
      <c r="I106" s="373"/>
      <c r="J106" s="373"/>
      <c r="K106" s="373"/>
      <c r="L106" s="374"/>
      <c r="M106" s="400"/>
      <c r="N106" s="401"/>
      <c r="O106" s="401"/>
      <c r="P106" s="401"/>
      <c r="Q106" s="401"/>
      <c r="R106" s="401"/>
      <c r="S106" s="401"/>
      <c r="T106" s="401"/>
      <c r="U106" s="401"/>
      <c r="V106" s="401"/>
      <c r="W106" s="402"/>
      <c r="X106" s="34"/>
    </row>
    <row r="107" spans="1:32" ht="16.5" thickBot="1" x14ac:dyDescent="0.3">
      <c r="A107" s="33"/>
      <c r="B107" s="33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4"/>
    </row>
    <row r="108" spans="1:32" ht="39.75" customHeight="1" thickBot="1" x14ac:dyDescent="0.4">
      <c r="A108" s="33"/>
      <c r="B108" s="8" t="s">
        <v>82</v>
      </c>
      <c r="C108" s="410" t="s">
        <v>48</v>
      </c>
      <c r="D108" s="411"/>
      <c r="E108" s="411"/>
      <c r="F108" s="644"/>
      <c r="G108" s="645"/>
      <c r="H108" s="646"/>
      <c r="I108" s="412" t="s">
        <v>93</v>
      </c>
      <c r="J108" s="413"/>
      <c r="K108" s="413"/>
      <c r="L108" s="414"/>
      <c r="M108" s="418"/>
      <c r="N108" s="419"/>
      <c r="O108" s="419"/>
      <c r="P108" s="419"/>
      <c r="Q108" s="419"/>
      <c r="R108" s="419"/>
      <c r="S108" s="419"/>
      <c r="T108" s="419"/>
      <c r="U108" s="419"/>
      <c r="V108" s="419"/>
      <c r="W108" s="420"/>
      <c r="X108" s="34"/>
    </row>
    <row r="109" spans="1:32" ht="45" customHeight="1" thickBot="1" x14ac:dyDescent="0.3">
      <c r="A109" s="33"/>
      <c r="B109" s="33"/>
      <c r="C109" s="35"/>
      <c r="D109" s="35"/>
      <c r="E109" s="35"/>
      <c r="F109" s="35"/>
      <c r="G109" s="35"/>
      <c r="H109" s="35"/>
      <c r="I109" s="415"/>
      <c r="J109" s="416"/>
      <c r="K109" s="416"/>
      <c r="L109" s="417"/>
      <c r="M109" s="421"/>
      <c r="N109" s="422"/>
      <c r="O109" s="422"/>
      <c r="P109" s="422"/>
      <c r="Q109" s="422"/>
      <c r="R109" s="422"/>
      <c r="S109" s="422"/>
      <c r="T109" s="422"/>
      <c r="U109" s="422"/>
      <c r="V109" s="422"/>
      <c r="W109" s="423"/>
      <c r="X109" s="34"/>
    </row>
    <row r="110" spans="1:32" ht="22.5" customHeight="1" x14ac:dyDescent="0.25">
      <c r="A110" s="33"/>
      <c r="B110" s="33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6"/>
      <c r="N110" s="6"/>
      <c r="O110" s="4"/>
      <c r="P110" s="4"/>
      <c r="Q110" s="5"/>
      <c r="R110" s="5"/>
      <c r="S110" s="5"/>
      <c r="T110" s="5"/>
      <c r="U110" s="35"/>
      <c r="V110" s="35"/>
      <c r="W110" s="35"/>
      <c r="X110" s="34"/>
    </row>
    <row r="111" spans="1:32" ht="22.5" customHeight="1" x14ac:dyDescent="0.35">
      <c r="A111" s="33"/>
      <c r="B111" s="8" t="s">
        <v>83</v>
      </c>
      <c r="C111" s="388" t="s">
        <v>33</v>
      </c>
      <c r="D111" s="389"/>
      <c r="E111" s="390"/>
      <c r="F111" s="647"/>
      <c r="G111" s="572"/>
      <c r="H111" s="573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4"/>
    </row>
    <row r="112" spans="1:32" ht="22.5" customHeight="1" x14ac:dyDescent="0.25">
      <c r="A112" s="33"/>
      <c r="B112" s="33"/>
      <c r="C112" s="378" t="s">
        <v>112</v>
      </c>
      <c r="D112" s="379"/>
      <c r="E112" s="380"/>
      <c r="F112" s="187" t="str">
        <f>IF(K117="","",COUNT(K117:K120))</f>
        <v/>
      </c>
      <c r="G112" s="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4"/>
    </row>
    <row r="113" spans="1:24" ht="22.5" customHeight="1" x14ac:dyDescent="0.25">
      <c r="A113" s="33"/>
      <c r="B113" s="33"/>
      <c r="C113" s="388" t="s">
        <v>16</v>
      </c>
      <c r="D113" s="389"/>
      <c r="E113" s="390"/>
      <c r="F113" s="39" t="str">
        <f>IF(K117="","",COUNT(K117:P117))</f>
        <v/>
      </c>
      <c r="G113" s="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4"/>
    </row>
    <row r="114" spans="1:24" ht="22.5" customHeight="1" x14ac:dyDescent="0.35">
      <c r="A114" s="33"/>
      <c r="B114" s="33"/>
      <c r="C114" s="40"/>
      <c r="D114" s="40"/>
      <c r="E114" s="40"/>
      <c r="F114" s="40"/>
      <c r="G114" s="40"/>
      <c r="H114" s="40"/>
      <c r="I114" s="40"/>
      <c r="J114" s="8" t="s">
        <v>94</v>
      </c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</row>
    <row r="115" spans="1:24" ht="32.25" customHeight="1" x14ac:dyDescent="0.25">
      <c r="A115" s="33"/>
      <c r="B115" s="100"/>
      <c r="C115" s="643" t="s">
        <v>209</v>
      </c>
      <c r="D115" s="643"/>
      <c r="E115" s="643"/>
      <c r="F115" s="643"/>
      <c r="G115" s="98"/>
      <c r="I115" s="641" t="s">
        <v>28</v>
      </c>
      <c r="J115" s="366" t="s">
        <v>254</v>
      </c>
      <c r="K115" s="367"/>
      <c r="L115" s="367"/>
      <c r="M115" s="367"/>
      <c r="N115" s="367"/>
      <c r="O115" s="367"/>
      <c r="P115" s="368"/>
      <c r="Q115" s="632" t="s">
        <v>210</v>
      </c>
    </row>
    <row r="116" spans="1:24" ht="22.5" customHeight="1" x14ac:dyDescent="0.25">
      <c r="A116" s="33"/>
      <c r="B116" s="100"/>
      <c r="C116" s="643"/>
      <c r="D116" s="643"/>
      <c r="E116" s="643"/>
      <c r="F116" s="643"/>
      <c r="G116" s="98"/>
      <c r="I116" s="642"/>
      <c r="J116" s="41" t="s">
        <v>4</v>
      </c>
      <c r="K116" s="13" t="s">
        <v>5</v>
      </c>
      <c r="L116" s="13" t="s">
        <v>1</v>
      </c>
      <c r="M116" s="13" t="s">
        <v>203</v>
      </c>
      <c r="N116" s="13" t="s">
        <v>204</v>
      </c>
      <c r="O116" s="13" t="s">
        <v>205</v>
      </c>
      <c r="P116" s="13" t="s">
        <v>206</v>
      </c>
      <c r="Q116" s="632"/>
    </row>
    <row r="117" spans="1:24" ht="15" customHeight="1" x14ac:dyDescent="0.25">
      <c r="A117" s="33"/>
      <c r="B117" s="7"/>
      <c r="C117" s="403" t="s">
        <v>3</v>
      </c>
      <c r="D117" s="633" t="str">
        <f>IF(D23="","",AVERAGE(D23:I42))</f>
        <v/>
      </c>
      <c r="E117" s="633"/>
      <c r="F117" s="633"/>
      <c r="G117" s="94"/>
      <c r="I117" s="3"/>
      <c r="J117" s="3"/>
      <c r="K117" s="2"/>
      <c r="L117" s="2"/>
      <c r="M117" s="99"/>
      <c r="N117" s="99"/>
      <c r="O117" s="99"/>
      <c r="P117" s="99"/>
      <c r="Q117" s="93" t="str">
        <f>IF(K117="","",(1/($F$113-1))*DEVSQ(K117:P117))</f>
        <v/>
      </c>
    </row>
    <row r="118" spans="1:24" ht="18" customHeight="1" x14ac:dyDescent="0.25">
      <c r="B118" s="7"/>
      <c r="C118" s="403"/>
      <c r="D118" s="633"/>
      <c r="E118" s="633"/>
      <c r="F118" s="633"/>
      <c r="G118" s="94"/>
      <c r="H118" s="16"/>
      <c r="I118" s="3"/>
      <c r="J118" s="3"/>
      <c r="K118" s="2"/>
      <c r="L118" s="2"/>
      <c r="M118" s="99"/>
      <c r="N118" s="99"/>
      <c r="O118" s="99"/>
      <c r="P118" s="99"/>
      <c r="Q118" s="93" t="str">
        <f>IF(K118="","",(1/($F$113-1))*DEVSQ(K118:P118))</f>
        <v/>
      </c>
    </row>
    <row r="119" spans="1:24" ht="18.75" customHeight="1" x14ac:dyDescent="0.25">
      <c r="A119" s="33"/>
      <c r="B119" s="7"/>
      <c r="C119" s="403" t="s">
        <v>253</v>
      </c>
      <c r="D119" s="634" t="str">
        <f>IF(D23="","",H46)</f>
        <v/>
      </c>
      <c r="E119" s="634"/>
      <c r="F119" s="634"/>
      <c r="G119" s="94"/>
      <c r="I119" s="3"/>
      <c r="J119" s="3"/>
      <c r="K119" s="2"/>
      <c r="L119" s="2"/>
      <c r="M119" s="99"/>
      <c r="N119" s="99"/>
      <c r="O119" s="99"/>
      <c r="P119" s="99"/>
      <c r="Q119" s="93" t="str">
        <f>IF(K119="","",(1/($F$113-1))*DEVSQ(K119:P119))</f>
        <v/>
      </c>
    </row>
    <row r="120" spans="1:24" ht="18" customHeight="1" x14ac:dyDescent="0.25">
      <c r="A120" s="33"/>
      <c r="B120" s="7"/>
      <c r="C120" s="403"/>
      <c r="D120" s="634"/>
      <c r="E120" s="634"/>
      <c r="F120" s="634"/>
      <c r="G120" s="94"/>
      <c r="I120" s="3"/>
      <c r="J120" s="3"/>
      <c r="K120" s="2"/>
      <c r="L120" s="2"/>
      <c r="M120" s="99"/>
      <c r="N120" s="99"/>
      <c r="O120" s="99"/>
      <c r="P120" s="99"/>
      <c r="Q120" s="93" t="str">
        <f>IF(K120="","",(1/($F$113-1))*DEVSQ(K120:P120))</f>
        <v/>
      </c>
    </row>
    <row r="121" spans="1:24" ht="18" customHeight="1" x14ac:dyDescent="0.25">
      <c r="A121" s="33"/>
      <c r="B121" s="33"/>
      <c r="C121" s="7"/>
      <c r="D121" s="95"/>
      <c r="E121" s="95"/>
      <c r="J121" s="42" t="s">
        <v>3</v>
      </c>
      <c r="K121" s="360" t="str">
        <f>IF(K117="","",AVERAGE(K117:P120))</f>
        <v/>
      </c>
      <c r="L121" s="361"/>
      <c r="M121" s="361"/>
      <c r="N121" s="361"/>
      <c r="O121" s="361"/>
      <c r="P121" s="362"/>
      <c r="Q121" s="35"/>
    </row>
    <row r="122" spans="1:24" ht="18" customHeight="1" x14ac:dyDescent="0.25">
      <c r="A122" s="33"/>
      <c r="B122" s="33"/>
      <c r="C122" s="7"/>
      <c r="D122" s="95"/>
      <c r="E122" s="95"/>
      <c r="J122" s="42" t="s">
        <v>211</v>
      </c>
      <c r="K122" s="363" t="str">
        <f>IF(K117="","",SQRT(1/$F$112*SUM(Q117:Q120)))</f>
        <v/>
      </c>
      <c r="L122" s="364"/>
      <c r="M122" s="364"/>
      <c r="N122" s="364"/>
      <c r="O122" s="364"/>
      <c r="P122" s="365"/>
      <c r="Q122" s="35"/>
    </row>
    <row r="123" spans="1:24" ht="22.5" customHeight="1" thickBot="1" x14ac:dyDescent="0.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</row>
    <row r="124" spans="1:24" ht="27.75" customHeight="1" x14ac:dyDescent="0.25">
      <c r="B124" s="33"/>
      <c r="C124" s="391" t="s">
        <v>66</v>
      </c>
      <c r="D124" s="392"/>
      <c r="E124" s="392"/>
      <c r="F124" s="393"/>
      <c r="G124" s="46"/>
      <c r="H124" s="46"/>
      <c r="I124" s="46"/>
      <c r="J124" s="46"/>
      <c r="K124" s="391" t="s">
        <v>66</v>
      </c>
      <c r="L124" s="392"/>
      <c r="M124" s="392"/>
      <c r="N124" s="392"/>
      <c r="O124" s="393"/>
    </row>
    <row r="125" spans="1:24" ht="20.25" customHeight="1" x14ac:dyDescent="0.25">
      <c r="B125" s="33"/>
      <c r="C125" s="394" t="str">
        <f>IF(D117="","",H48)</f>
        <v/>
      </c>
      <c r="D125" s="395"/>
      <c r="E125" s="395"/>
      <c r="F125" s="396"/>
      <c r="G125" s="82"/>
      <c r="H125" s="82"/>
      <c r="I125" s="82"/>
      <c r="J125" s="82"/>
      <c r="K125" s="394" t="str">
        <f>IF(K117="","",IF((K122/E128)&lt;0.5,"Le rapport sr/σpt est inférieur à 0,5","Le rapport sr/σpt est supérieur ou égal à 0,5"))</f>
        <v/>
      </c>
      <c r="L125" s="395"/>
      <c r="M125" s="395"/>
      <c r="N125" s="395"/>
      <c r="O125" s="396"/>
    </row>
    <row r="126" spans="1:24" ht="20.25" customHeight="1" thickBot="1" x14ac:dyDescent="0.3">
      <c r="B126" s="33"/>
      <c r="C126" s="397"/>
      <c r="D126" s="398"/>
      <c r="E126" s="398"/>
      <c r="F126" s="399"/>
      <c r="G126" s="82"/>
      <c r="H126" s="82"/>
      <c r="I126" s="82"/>
      <c r="J126" s="82"/>
      <c r="K126" s="397"/>
      <c r="L126" s="398"/>
      <c r="M126" s="398"/>
      <c r="N126" s="398"/>
      <c r="O126" s="399"/>
    </row>
    <row r="127" spans="1:24" ht="48" customHeight="1" x14ac:dyDescent="0.25">
      <c r="A127" s="33"/>
      <c r="B127" s="33"/>
      <c r="C127" s="44"/>
      <c r="D127" s="44"/>
      <c r="E127" s="44"/>
      <c r="F127" s="44"/>
      <c r="G127" s="18"/>
      <c r="H127" s="17"/>
      <c r="I127" s="17"/>
      <c r="K127" s="33"/>
      <c r="L127" s="33"/>
      <c r="M127" s="33"/>
    </row>
    <row r="128" spans="1:24" ht="15" customHeight="1" thickBot="1" x14ac:dyDescent="0.3">
      <c r="A128" s="33"/>
      <c r="B128" s="33"/>
      <c r="C128" s="384" t="str">
        <f>C100</f>
        <v xml:space="preserve">σpt choisi : </v>
      </c>
      <c r="D128" s="385"/>
      <c r="E128" s="386" t="str">
        <f>IF(D117="","",E100)</f>
        <v/>
      </c>
      <c r="F128" s="387"/>
      <c r="G128" s="33"/>
      <c r="H128" s="33"/>
    </row>
    <row r="129" spans="1:29" ht="15.75" customHeight="1" x14ac:dyDescent="0.25">
      <c r="A129" s="33"/>
      <c r="B129" s="33"/>
      <c r="C129" s="635" t="s">
        <v>68</v>
      </c>
      <c r="D129" s="636"/>
      <c r="E129" s="636"/>
      <c r="F129" s="636"/>
      <c r="G129" s="636"/>
      <c r="H129" s="637"/>
      <c r="I129" s="424" t="str">
        <f>IF(C130=AF18,"Utiliser Z'score pour l'évaluation de performance des  participants", "")</f>
        <v/>
      </c>
      <c r="J129" s="425"/>
      <c r="K129" s="426"/>
    </row>
    <row r="130" spans="1:29" ht="21.75" thickBot="1" x14ac:dyDescent="0.3">
      <c r="A130" s="33"/>
      <c r="B130" s="33"/>
      <c r="C130" s="638" t="str">
        <f>IF(OR(D117="",K121=""),"",IF(ABS(D117-K121)&lt;=(0.3*E128),"Les échantillons sont stables","Les échantillons ne sont pas stables"))</f>
        <v/>
      </c>
      <c r="D130" s="639"/>
      <c r="E130" s="639"/>
      <c r="F130" s="639"/>
      <c r="G130" s="639"/>
      <c r="H130" s="640"/>
      <c r="I130" s="427"/>
      <c r="J130" s="428"/>
      <c r="K130" s="429"/>
    </row>
    <row r="131" spans="1:29" x14ac:dyDescent="0.25">
      <c r="A131" s="33"/>
      <c r="B131" s="33"/>
    </row>
    <row r="132" spans="1:29" ht="21" x14ac:dyDescent="0.25">
      <c r="A132" s="33"/>
      <c r="B132" s="33"/>
      <c r="C132" s="45"/>
      <c r="D132" s="45"/>
      <c r="E132" s="45"/>
      <c r="F132" s="45"/>
      <c r="G132" s="45"/>
      <c r="H132" s="45"/>
      <c r="I132" s="46"/>
      <c r="J132" s="46"/>
      <c r="K132" s="46"/>
    </row>
    <row r="133" spans="1:29" ht="21" customHeight="1" thickBot="1" x14ac:dyDescent="0.3">
      <c r="A133" s="33"/>
      <c r="B133" s="33"/>
    </row>
    <row r="134" spans="1:29" ht="21.75" thickBot="1" x14ac:dyDescent="0.3">
      <c r="A134" s="33"/>
      <c r="B134" s="372" t="s">
        <v>95</v>
      </c>
      <c r="C134" s="373"/>
      <c r="D134" s="373"/>
      <c r="E134" s="373"/>
      <c r="F134" s="373"/>
      <c r="G134" s="373"/>
      <c r="H134" s="373"/>
      <c r="I134" s="373"/>
      <c r="J134" s="373"/>
      <c r="K134" s="373"/>
      <c r="L134" s="374"/>
      <c r="M134" s="648"/>
      <c r="N134" s="649"/>
      <c r="O134" s="649"/>
      <c r="P134" s="649"/>
      <c r="Q134" s="649"/>
      <c r="R134" s="649"/>
      <c r="S134" s="649"/>
      <c r="T134" s="649"/>
      <c r="U134" s="649"/>
      <c r="V134" s="649"/>
      <c r="W134" s="650"/>
      <c r="X134" s="34"/>
    </row>
    <row r="135" spans="1:29" x14ac:dyDescent="0.25">
      <c r="A135" s="33"/>
      <c r="B135" s="33"/>
    </row>
    <row r="136" spans="1:29" ht="15.75" x14ac:dyDescent="0.25">
      <c r="A136" s="33"/>
      <c r="B136" s="33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4"/>
    </row>
    <row r="137" spans="1:29" ht="27.75" customHeight="1" x14ac:dyDescent="0.35">
      <c r="A137" s="33"/>
      <c r="B137" s="651" t="s">
        <v>112</v>
      </c>
      <c r="C137" s="652"/>
      <c r="D137" s="39" t="str">
        <f>IF(H142="","",COUNT(H142:H145))</f>
        <v/>
      </c>
      <c r="E137" s="5"/>
      <c r="F137" s="8" t="s">
        <v>96</v>
      </c>
      <c r="G137" s="35"/>
      <c r="H137" s="35"/>
      <c r="I137" s="35"/>
      <c r="J137" s="35"/>
      <c r="K137" s="35"/>
      <c r="L137" s="35"/>
      <c r="M137" s="35"/>
      <c r="N137" s="35"/>
      <c r="O137" s="35"/>
      <c r="P137" s="8" t="s">
        <v>97</v>
      </c>
      <c r="Q137" s="35"/>
      <c r="R137" s="35"/>
      <c r="S137" s="35"/>
      <c r="T137" s="35"/>
      <c r="U137" s="35"/>
      <c r="V137" s="35"/>
      <c r="W137" s="34"/>
    </row>
    <row r="138" spans="1:29" ht="21.75" customHeight="1" x14ac:dyDescent="0.25">
      <c r="A138" s="33"/>
      <c r="B138" s="388" t="s">
        <v>16</v>
      </c>
      <c r="C138" s="390"/>
      <c r="D138" s="39" t="str">
        <f>IF(H142="","",COUNT(H142:M142))</f>
        <v/>
      </c>
      <c r="E138" s="5"/>
      <c r="F138" s="388" t="s">
        <v>49</v>
      </c>
      <c r="G138" s="389"/>
      <c r="H138" s="390"/>
      <c r="I138" s="647"/>
      <c r="J138" s="573"/>
      <c r="K138" s="85"/>
      <c r="L138" s="85"/>
      <c r="M138" s="85"/>
      <c r="N138" s="85"/>
      <c r="O138" s="85"/>
      <c r="P138" s="388" t="s">
        <v>50</v>
      </c>
      <c r="Q138" s="389"/>
      <c r="R138" s="390"/>
      <c r="S138" s="647"/>
      <c r="T138" s="573"/>
    </row>
    <row r="139" spans="1:29" ht="22.5" customHeight="1" x14ac:dyDescent="0.25">
      <c r="A139" s="33"/>
      <c r="B139" s="33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Y139" s="40"/>
      <c r="Z139" s="40"/>
      <c r="AA139" s="40"/>
      <c r="AB139" s="40"/>
      <c r="AC139" s="40"/>
    </row>
    <row r="140" spans="1:29" ht="33.75" customHeight="1" x14ac:dyDescent="0.25">
      <c r="A140" s="33"/>
      <c r="B140" s="656" t="s">
        <v>209</v>
      </c>
      <c r="C140" s="657"/>
      <c r="D140" s="96"/>
      <c r="F140" s="641" t="s">
        <v>28</v>
      </c>
      <c r="G140" s="366" t="s">
        <v>51</v>
      </c>
      <c r="H140" s="367"/>
      <c r="I140" s="367"/>
      <c r="J140" s="367"/>
      <c r="K140" s="367"/>
      <c r="L140" s="367"/>
      <c r="M140" s="368"/>
      <c r="N140" s="632" t="s">
        <v>210</v>
      </c>
      <c r="P140" s="641" t="s">
        <v>28</v>
      </c>
      <c r="Q140" s="366" t="s">
        <v>69</v>
      </c>
      <c r="R140" s="367"/>
      <c r="S140" s="367"/>
      <c r="T140" s="367"/>
      <c r="U140" s="367"/>
      <c r="V140" s="367"/>
      <c r="W140" s="368"/>
      <c r="X140" s="632" t="s">
        <v>210</v>
      </c>
    </row>
    <row r="141" spans="1:29" ht="22.5" customHeight="1" x14ac:dyDescent="0.25">
      <c r="A141" s="33"/>
      <c r="B141" s="658"/>
      <c r="C141" s="659"/>
      <c r="D141" s="96"/>
      <c r="F141" s="642"/>
      <c r="G141" s="41" t="s">
        <v>4</v>
      </c>
      <c r="H141" s="13" t="s">
        <v>5</v>
      </c>
      <c r="I141" s="13" t="s">
        <v>1</v>
      </c>
      <c r="J141" s="13" t="s">
        <v>203</v>
      </c>
      <c r="K141" s="13" t="s">
        <v>204</v>
      </c>
      <c r="L141" s="13" t="s">
        <v>205</v>
      </c>
      <c r="M141" s="13" t="s">
        <v>206</v>
      </c>
      <c r="N141" s="632"/>
      <c r="P141" s="653"/>
      <c r="Q141" s="41" t="s">
        <v>4</v>
      </c>
      <c r="R141" s="13" t="s">
        <v>5</v>
      </c>
      <c r="S141" s="13" t="s">
        <v>1</v>
      </c>
      <c r="T141" s="13" t="s">
        <v>203</v>
      </c>
      <c r="U141" s="13" t="s">
        <v>204</v>
      </c>
      <c r="V141" s="13" t="s">
        <v>205</v>
      </c>
      <c r="W141" s="13" t="s">
        <v>206</v>
      </c>
      <c r="X141" s="632"/>
    </row>
    <row r="142" spans="1:29" ht="17.25" customHeight="1" x14ac:dyDescent="0.25">
      <c r="A142" s="33"/>
      <c r="B142" s="654" t="s">
        <v>3</v>
      </c>
      <c r="C142" s="660" t="str">
        <f>IF(D23="","",AVERAGE(D23:I42))</f>
        <v/>
      </c>
      <c r="D142" s="17"/>
      <c r="F142" s="3"/>
      <c r="G142" s="3"/>
      <c r="H142" s="2"/>
      <c r="I142" s="2"/>
      <c r="J142" s="2"/>
      <c r="K142" s="2"/>
      <c r="L142" s="2"/>
      <c r="M142" s="2"/>
      <c r="N142" s="93" t="str">
        <f>IF(H142="","",(1/($D$138-1))*DEVSQ(H142:M142))</f>
        <v/>
      </c>
      <c r="P142" s="3"/>
      <c r="Q142" s="3"/>
      <c r="R142" s="2"/>
      <c r="S142" s="2"/>
      <c r="T142" s="2"/>
      <c r="U142" s="2"/>
      <c r="V142" s="2"/>
      <c r="W142" s="2"/>
      <c r="X142" s="93" t="str">
        <f>IF(R142="","",(1/($D$138-1))*DEVSQ(R142:W142))</f>
        <v/>
      </c>
    </row>
    <row r="143" spans="1:29" ht="18" customHeight="1" x14ac:dyDescent="0.25">
      <c r="B143" s="655"/>
      <c r="C143" s="661"/>
      <c r="D143" s="17"/>
      <c r="F143" s="3"/>
      <c r="G143" s="3"/>
      <c r="H143" s="2"/>
      <c r="I143" s="2"/>
      <c r="J143" s="2"/>
      <c r="K143" s="2"/>
      <c r="L143" s="2"/>
      <c r="M143" s="2"/>
      <c r="N143" s="93" t="str">
        <f>IF(H143="","",(1/($D$138-1))*DEVSQ(H143:M143))</f>
        <v/>
      </c>
      <c r="P143" s="3"/>
      <c r="Q143" s="3"/>
      <c r="R143" s="2"/>
      <c r="S143" s="2"/>
      <c r="T143" s="2"/>
      <c r="U143" s="2"/>
      <c r="V143" s="2"/>
      <c r="W143" s="2"/>
      <c r="X143" s="93" t="str">
        <f>IF(R143="","",(1/($D$138-1))*DEVSQ(R143:W143))</f>
        <v/>
      </c>
    </row>
    <row r="144" spans="1:29" ht="18.75" customHeight="1" x14ac:dyDescent="0.25">
      <c r="A144" s="33"/>
      <c r="B144" s="654" t="s">
        <v>211</v>
      </c>
      <c r="C144" s="662" t="str">
        <f>IF(D23="","",H46)</f>
        <v/>
      </c>
      <c r="D144" s="95"/>
      <c r="F144" s="3"/>
      <c r="G144" s="3"/>
      <c r="H144" s="2"/>
      <c r="I144" s="2"/>
      <c r="J144" s="2"/>
      <c r="K144" s="2"/>
      <c r="L144" s="2"/>
      <c r="M144" s="2"/>
      <c r="N144" s="93" t="str">
        <f>IF(H144="","",(1/($D$138-1))*DEVSQ(H144:M144))</f>
        <v/>
      </c>
      <c r="P144" s="3"/>
      <c r="Q144" s="3"/>
      <c r="R144" s="2"/>
      <c r="S144" s="2"/>
      <c r="T144" s="2"/>
      <c r="U144" s="2"/>
      <c r="V144" s="2"/>
      <c r="W144" s="2"/>
      <c r="X144" s="93" t="str">
        <f>IF(R144="","",(1/($D$138-1))*DEVSQ(R144:W144))</f>
        <v/>
      </c>
    </row>
    <row r="145" spans="1:27" ht="18" customHeight="1" x14ac:dyDescent="0.25">
      <c r="A145" s="33"/>
      <c r="B145" s="655"/>
      <c r="C145" s="663"/>
      <c r="D145" s="95"/>
      <c r="F145" s="3"/>
      <c r="G145" s="3"/>
      <c r="H145" s="2"/>
      <c r="I145" s="2"/>
      <c r="J145" s="2"/>
      <c r="K145" s="2"/>
      <c r="L145" s="2"/>
      <c r="M145" s="2"/>
      <c r="N145" s="93" t="str">
        <f>IF(H145="","",(1/($D$138-1))*DEVSQ(H145:M145))</f>
        <v/>
      </c>
      <c r="P145" s="3"/>
      <c r="Q145" s="3"/>
      <c r="R145" s="2"/>
      <c r="S145" s="2"/>
      <c r="T145" s="2"/>
      <c r="U145" s="2"/>
      <c r="V145" s="2"/>
      <c r="W145" s="2"/>
      <c r="X145" s="93" t="str">
        <f>IF(R145="","",(1/($D$138-1))*DEVSQ(R145:W145))</f>
        <v/>
      </c>
    </row>
    <row r="146" spans="1:27" ht="24" customHeight="1" x14ac:dyDescent="0.25">
      <c r="A146" s="33"/>
      <c r="B146" s="100"/>
      <c r="C146" s="100"/>
      <c r="D146" s="100"/>
      <c r="E146" s="100"/>
      <c r="G146" s="42" t="s">
        <v>3</v>
      </c>
      <c r="H146" s="360" t="str">
        <f>IF(H142="","",AVERAGE(H142:M145))</f>
        <v/>
      </c>
      <c r="I146" s="361"/>
      <c r="J146" s="361"/>
      <c r="K146" s="361"/>
      <c r="L146" s="361"/>
      <c r="M146" s="362"/>
      <c r="N146" s="17"/>
      <c r="Q146" s="42" t="s">
        <v>3</v>
      </c>
      <c r="R146" s="360" t="str">
        <f>IF(R142="","",AVERAGE(R142:W145))</f>
        <v/>
      </c>
      <c r="S146" s="361"/>
      <c r="T146" s="361"/>
      <c r="U146" s="361"/>
      <c r="V146" s="361"/>
      <c r="W146" s="362"/>
    </row>
    <row r="147" spans="1:27" ht="24" customHeight="1" x14ac:dyDescent="0.25">
      <c r="A147" s="33"/>
      <c r="B147" s="100"/>
      <c r="C147" s="100"/>
      <c r="D147" s="100"/>
      <c r="E147" s="100"/>
      <c r="G147" s="42" t="s">
        <v>211</v>
      </c>
      <c r="H147" s="363" t="str">
        <f>IF(H142="","",SQRT(1/$D$137*SUM(N142:N145)))</f>
        <v/>
      </c>
      <c r="I147" s="364"/>
      <c r="J147" s="364"/>
      <c r="K147" s="364"/>
      <c r="L147" s="364"/>
      <c r="M147" s="365"/>
      <c r="N147" s="95"/>
      <c r="Q147" s="42" t="s">
        <v>211</v>
      </c>
      <c r="R147" s="363" t="str">
        <f>IF(R142="","",SQRT(1/$D$137*SUM(X142:X145)))</f>
        <v/>
      </c>
      <c r="S147" s="364"/>
      <c r="T147" s="364"/>
      <c r="U147" s="364"/>
      <c r="V147" s="364"/>
      <c r="W147" s="365"/>
    </row>
    <row r="148" spans="1:27" ht="24" customHeight="1" thickBot="1" x14ac:dyDescent="0.3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17"/>
    </row>
    <row r="149" spans="1:27" ht="38.25" customHeight="1" x14ac:dyDescent="0.25">
      <c r="A149" s="33"/>
      <c r="B149" s="404" t="s">
        <v>66</v>
      </c>
      <c r="C149" s="405"/>
      <c r="D149" s="405"/>
      <c r="E149" s="186"/>
      <c r="F149" s="186"/>
      <c r="G149" s="46"/>
      <c r="H149" s="404" t="s">
        <v>66</v>
      </c>
      <c r="I149" s="405"/>
      <c r="J149" s="405"/>
      <c r="K149" s="405"/>
      <c r="L149" s="405"/>
      <c r="M149" s="101"/>
      <c r="N149" s="101"/>
      <c r="O149" s="101"/>
      <c r="P149" s="101"/>
      <c r="R149" s="667" t="s">
        <v>66</v>
      </c>
      <c r="S149" s="668"/>
      <c r="T149" s="668"/>
      <c r="U149" s="668"/>
      <c r="V149" s="669"/>
    </row>
    <row r="150" spans="1:27" ht="20.25" customHeight="1" x14ac:dyDescent="0.25">
      <c r="A150" s="33"/>
      <c r="B150" s="406" t="str">
        <f>IF(C142="","",H48)</f>
        <v/>
      </c>
      <c r="C150" s="407"/>
      <c r="D150" s="407"/>
      <c r="E150" s="18"/>
      <c r="F150" s="18"/>
      <c r="G150" s="82"/>
      <c r="H150" s="406" t="str">
        <f>IF(H142="","",IF((H147/E153)&lt;0.5,"Le rapport sr/σpt est inférieur à 0,5","Le rapport sr/σpt est supérieur ou égal à 0,5"))</f>
        <v/>
      </c>
      <c r="I150" s="407"/>
      <c r="J150" s="407"/>
      <c r="K150" s="407"/>
      <c r="L150" s="407"/>
      <c r="M150" s="82"/>
      <c r="N150" s="82"/>
      <c r="O150" s="82"/>
      <c r="P150" s="82"/>
      <c r="R150" s="394" t="str">
        <f>IF(R142="","",IF((R147/R153)&lt;0.5,"Le rapport sr/σpt est inférieur à 0,5","Le rapport sr/σpt est supérieur ou égal à 0,5"))</f>
        <v/>
      </c>
      <c r="S150" s="395"/>
      <c r="T150" s="395"/>
      <c r="U150" s="395"/>
      <c r="V150" s="396"/>
    </row>
    <row r="151" spans="1:27" ht="20.25" customHeight="1" thickBot="1" x14ac:dyDescent="0.3">
      <c r="A151" s="33"/>
      <c r="B151" s="408"/>
      <c r="C151" s="409"/>
      <c r="D151" s="409"/>
      <c r="E151" s="18"/>
      <c r="F151" s="18"/>
      <c r="G151" s="82"/>
      <c r="H151" s="408"/>
      <c r="I151" s="409"/>
      <c r="J151" s="409"/>
      <c r="K151" s="409"/>
      <c r="L151" s="409"/>
      <c r="M151" s="82"/>
      <c r="N151" s="82"/>
      <c r="O151" s="82"/>
      <c r="P151" s="82"/>
      <c r="R151" s="397"/>
      <c r="S151" s="398"/>
      <c r="T151" s="398"/>
      <c r="U151" s="398"/>
      <c r="V151" s="399"/>
    </row>
    <row r="152" spans="1:27" ht="48" customHeight="1" x14ac:dyDescent="0.25">
      <c r="A152" s="33"/>
      <c r="B152" s="33"/>
      <c r="C152" s="33"/>
      <c r="D152" s="33"/>
      <c r="E152" s="33"/>
      <c r="F152" s="33"/>
      <c r="G152" s="33"/>
      <c r="K152" s="33"/>
      <c r="L152" s="33"/>
      <c r="M152" s="33"/>
    </row>
    <row r="153" spans="1:27" ht="15" customHeight="1" thickBot="1" x14ac:dyDescent="0.3">
      <c r="A153" s="33"/>
      <c r="B153" s="33"/>
      <c r="C153" s="384" t="str">
        <f>C128</f>
        <v xml:space="preserve">σpt choisi : </v>
      </c>
      <c r="D153" s="385"/>
      <c r="E153" s="386" t="str">
        <f>IF(C142="","",E128)</f>
        <v/>
      </c>
      <c r="F153" s="387"/>
      <c r="G153" s="33"/>
      <c r="H153" s="33"/>
      <c r="P153" s="664" t="str">
        <f>C153</f>
        <v xml:space="preserve">σpt choisi : </v>
      </c>
      <c r="Q153" s="385"/>
      <c r="R153" s="665" t="str">
        <f>IF(R142="","",E128)</f>
        <v/>
      </c>
      <c r="S153" s="666"/>
      <c r="T153" s="33"/>
      <c r="U153" s="33"/>
    </row>
    <row r="154" spans="1:27" ht="15.75" customHeight="1" x14ac:dyDescent="0.25">
      <c r="A154" s="33"/>
      <c r="B154" s="33"/>
      <c r="C154" s="635" t="s">
        <v>98</v>
      </c>
      <c r="D154" s="636"/>
      <c r="E154" s="636"/>
      <c r="F154" s="636"/>
      <c r="G154" s="636"/>
      <c r="H154" s="637"/>
      <c r="I154" s="424" t="str">
        <f>IF(C155=AF18,"Utiliser Z'score pour l'évaluation de performance des  participants", "")</f>
        <v/>
      </c>
      <c r="J154" s="425"/>
      <c r="K154" s="426"/>
      <c r="P154" s="635" t="s">
        <v>212</v>
      </c>
      <c r="Q154" s="636"/>
      <c r="R154" s="636"/>
      <c r="S154" s="636"/>
      <c r="T154" s="636"/>
      <c r="U154" s="637"/>
      <c r="V154" s="424" t="str">
        <f>IF(P155=AF18,"Utiliser Z'score pour l'évaluation de performance des  participants", "")</f>
        <v/>
      </c>
      <c r="W154" s="425"/>
      <c r="X154" s="426"/>
    </row>
    <row r="155" spans="1:27" ht="21.75" thickBot="1" x14ac:dyDescent="0.3">
      <c r="A155" s="33"/>
      <c r="B155" s="33"/>
      <c r="C155" s="638" t="str">
        <f>IF(OR(C142="",H146=""),"",IF(ABS(C142-H146)&lt;=(0.3*E153),"Les échantillons sont stables","Les échantillons ne sont pas stables"))</f>
        <v/>
      </c>
      <c r="D155" s="639"/>
      <c r="E155" s="639"/>
      <c r="F155" s="639"/>
      <c r="G155" s="639"/>
      <c r="H155" s="640"/>
      <c r="I155" s="427"/>
      <c r="J155" s="428"/>
      <c r="K155" s="429"/>
      <c r="P155" s="638" t="str">
        <f>IF(OR(C142="",R146=""),"",IF(ABS(C142-R146)&lt;=(0.3*R153),"Les échantillons sont stables","Les échantillons ne sont pas stables"))</f>
        <v/>
      </c>
      <c r="Q155" s="639"/>
      <c r="R155" s="639"/>
      <c r="S155" s="639"/>
      <c r="T155" s="639"/>
      <c r="U155" s="640"/>
      <c r="V155" s="427"/>
      <c r="W155" s="428"/>
      <c r="X155" s="429"/>
    </row>
    <row r="156" spans="1:27" x14ac:dyDescent="0.25">
      <c r="A156" s="33"/>
      <c r="B156" s="33"/>
    </row>
    <row r="157" spans="1:27" ht="21" x14ac:dyDescent="0.25">
      <c r="A157" s="33"/>
      <c r="B157" s="33"/>
      <c r="C157" s="35"/>
      <c r="D157" s="45"/>
      <c r="E157" s="45"/>
      <c r="F157" s="45"/>
      <c r="G157" s="45"/>
      <c r="H157" s="45"/>
      <c r="I157" s="46"/>
      <c r="J157" s="46"/>
      <c r="K157" s="46"/>
      <c r="L157" s="35"/>
      <c r="M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</row>
    <row r="158" spans="1:27" ht="21" customHeight="1" thickBot="1" x14ac:dyDescent="0.4">
      <c r="A158" s="33"/>
      <c r="B158" s="33"/>
      <c r="C158" s="8" t="s">
        <v>101</v>
      </c>
      <c r="D158" s="45"/>
      <c r="E158" s="45"/>
      <c r="F158" s="45"/>
      <c r="G158" s="45"/>
      <c r="H158" s="45"/>
      <c r="I158" s="46"/>
      <c r="J158" s="46"/>
      <c r="K158" s="46"/>
      <c r="L158" s="35"/>
      <c r="M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</row>
    <row r="159" spans="1:27" ht="15.75" x14ac:dyDescent="0.25">
      <c r="A159" s="33"/>
      <c r="B159" s="33"/>
      <c r="C159" s="670" t="s">
        <v>73</v>
      </c>
      <c r="D159" s="671"/>
      <c r="E159" s="672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</row>
    <row r="160" spans="1:27" ht="15.75" x14ac:dyDescent="0.25">
      <c r="A160" s="33"/>
      <c r="B160" s="33"/>
      <c r="C160" s="685" t="s">
        <v>213</v>
      </c>
      <c r="D160" s="686"/>
      <c r="E160" s="47" t="str">
        <f>IF(M134="","",IF(C142="","",C142))</f>
        <v/>
      </c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</row>
    <row r="161" spans="1:29" ht="15.75" x14ac:dyDescent="0.25">
      <c r="A161" s="33"/>
      <c r="B161" s="33"/>
      <c r="C161" s="685" t="s">
        <v>214</v>
      </c>
      <c r="D161" s="686"/>
      <c r="E161" s="47" t="str">
        <f>IF(M134="","",IF(H146="","",H146))</f>
        <v/>
      </c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</row>
    <row r="162" spans="1:29" ht="15.75" x14ac:dyDescent="0.25">
      <c r="A162" s="33"/>
      <c r="B162" s="33"/>
      <c r="C162" s="685" t="s">
        <v>215</v>
      </c>
      <c r="D162" s="686"/>
      <c r="E162" s="47" t="str">
        <f>IF(M134="","",IF(R146="","",R146))</f>
        <v/>
      </c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</row>
    <row r="163" spans="1:29" ht="16.5" thickBot="1" x14ac:dyDescent="0.3">
      <c r="A163" s="33"/>
      <c r="B163" s="33"/>
      <c r="C163" s="352" t="s">
        <v>72</v>
      </c>
      <c r="D163" s="353"/>
      <c r="E163" s="48" t="str">
        <f>IF(M134="","",IF(K92="","",K92))</f>
        <v/>
      </c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</row>
    <row r="164" spans="1:29" ht="15.75" x14ac:dyDescent="0.25">
      <c r="A164" s="33"/>
      <c r="B164" s="33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</row>
    <row r="165" spans="1:29" ht="15.75" x14ac:dyDescent="0.25">
      <c r="A165" s="33"/>
      <c r="B165" s="33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</row>
    <row r="166" spans="1:29" ht="19.5" thickBot="1" x14ac:dyDescent="0.3">
      <c r="A166" s="33"/>
      <c r="B166" s="33"/>
      <c r="C166" s="49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</row>
    <row r="167" spans="1:29" ht="19.5" thickTop="1" x14ac:dyDescent="0.25">
      <c r="A167" s="33"/>
      <c r="B167" s="33"/>
      <c r="C167" s="607" t="s">
        <v>85</v>
      </c>
      <c r="D167" s="608"/>
      <c r="E167" s="609"/>
      <c r="F167" s="354" t="s">
        <v>110</v>
      </c>
      <c r="G167" s="355"/>
      <c r="H167" s="355"/>
      <c r="I167" s="355"/>
      <c r="J167" s="355"/>
      <c r="K167" s="355"/>
      <c r="L167" s="355"/>
      <c r="M167" s="355"/>
      <c r="N167" s="355"/>
      <c r="O167" s="355"/>
      <c r="P167" s="356"/>
      <c r="Q167" s="673" t="str">
        <f>IF(AND(B150="",H150="",R150="",C125="",K125="",C96="",K96=""),"",IF(OR(B150=AF9,H150=AF9,R150=AF9,C125=AF9,K125=AF9,C96=AF9,K96=AF9),AF9,AF5))</f>
        <v/>
      </c>
      <c r="R167" s="673"/>
      <c r="S167" s="674"/>
      <c r="T167" s="35"/>
      <c r="U167" s="35"/>
      <c r="V167" s="35"/>
      <c r="W167" s="35"/>
      <c r="X167" s="35"/>
      <c r="Y167" s="35"/>
      <c r="Z167" s="35"/>
      <c r="AA167" s="35"/>
    </row>
    <row r="168" spans="1:29" ht="23.25" x14ac:dyDescent="0.35">
      <c r="A168" s="33"/>
      <c r="B168" s="8" t="s">
        <v>102</v>
      </c>
      <c r="C168" s="610"/>
      <c r="D168" s="611"/>
      <c r="E168" s="612"/>
      <c r="F168" s="357" t="s">
        <v>70</v>
      </c>
      <c r="G168" s="358"/>
      <c r="H168" s="358"/>
      <c r="I168" s="358"/>
      <c r="J168" s="358"/>
      <c r="K168" s="358"/>
      <c r="L168" s="358"/>
      <c r="M168" s="358"/>
      <c r="N168" s="358"/>
      <c r="O168" s="358"/>
      <c r="P168" s="359"/>
      <c r="Q168" s="675"/>
      <c r="R168" s="675"/>
      <c r="S168" s="676"/>
      <c r="T168" s="35"/>
      <c r="U168" s="35"/>
      <c r="V168" s="35"/>
      <c r="W168" s="35"/>
      <c r="X168" s="35"/>
      <c r="Y168" s="35"/>
      <c r="Z168" s="35"/>
      <c r="AA168" s="35"/>
    </row>
    <row r="169" spans="1:29" ht="18.75" x14ac:dyDescent="0.25">
      <c r="A169" s="33"/>
      <c r="B169" s="33"/>
      <c r="C169" s="610"/>
      <c r="D169" s="611"/>
      <c r="E169" s="612"/>
      <c r="F169" s="357" t="s">
        <v>246</v>
      </c>
      <c r="G169" s="358"/>
      <c r="H169" s="358"/>
      <c r="I169" s="358"/>
      <c r="J169" s="358"/>
      <c r="K169" s="358"/>
      <c r="L169" s="358"/>
      <c r="M169" s="358"/>
      <c r="N169" s="358"/>
      <c r="O169" s="358"/>
      <c r="P169" s="359"/>
      <c r="Q169" s="677" t="str">
        <f>IF(AND(C155="",P155=""),"",IF(AND(C155=AF17,P155=AF17),AF17,AF18))</f>
        <v/>
      </c>
      <c r="R169" s="677"/>
      <c r="S169" s="678"/>
      <c r="T169" s="35"/>
      <c r="U169" s="35"/>
      <c r="V169" s="35"/>
      <c r="W169" s="35"/>
      <c r="X169" s="35"/>
      <c r="Y169" s="35"/>
      <c r="Z169" s="35"/>
      <c r="AA169" s="35"/>
    </row>
    <row r="170" spans="1:29" ht="25.5" customHeight="1" x14ac:dyDescent="0.25">
      <c r="A170" s="33"/>
      <c r="B170" s="33"/>
      <c r="C170" s="610"/>
      <c r="D170" s="611"/>
      <c r="E170" s="612"/>
      <c r="F170" s="357" t="s">
        <v>71</v>
      </c>
      <c r="G170" s="358"/>
      <c r="H170" s="358"/>
      <c r="I170" s="358"/>
      <c r="J170" s="358"/>
      <c r="K170" s="358"/>
      <c r="L170" s="358"/>
      <c r="M170" s="358"/>
      <c r="N170" s="358"/>
      <c r="O170" s="358"/>
      <c r="P170" s="359"/>
      <c r="Q170" s="677" t="str">
        <f>IF(C102="","",IF(C102=AF17,AF17,AF18))</f>
        <v/>
      </c>
      <c r="R170" s="677"/>
      <c r="S170" s="678"/>
      <c r="T170" s="35"/>
      <c r="U170" s="35"/>
      <c r="V170" s="35"/>
      <c r="W170" s="35"/>
      <c r="X170" s="35"/>
      <c r="Y170" s="35"/>
      <c r="Z170" s="35"/>
      <c r="AA170" s="35"/>
      <c r="AC170" t="s">
        <v>99</v>
      </c>
    </row>
    <row r="171" spans="1:29" ht="18.75" customHeight="1" thickBot="1" x14ac:dyDescent="0.3">
      <c r="A171" s="33"/>
      <c r="B171" s="33"/>
      <c r="C171" s="610"/>
      <c r="D171" s="611"/>
      <c r="E171" s="612"/>
      <c r="F171" s="304" t="s">
        <v>247</v>
      </c>
      <c r="G171" s="305"/>
      <c r="H171" s="305"/>
      <c r="I171" s="305"/>
      <c r="J171" s="305"/>
      <c r="K171" s="305"/>
      <c r="L171" s="305"/>
      <c r="M171" s="305"/>
      <c r="N171" s="305"/>
      <c r="O171" s="305"/>
      <c r="P171" s="306"/>
      <c r="Q171" s="370" t="str">
        <f>IF(C130="","",IF(C130=AF17,AF17,AF18))</f>
        <v/>
      </c>
      <c r="R171" s="370"/>
      <c r="S171" s="371"/>
      <c r="T171" s="35"/>
      <c r="U171" s="35"/>
      <c r="V171" s="35"/>
      <c r="W171" s="35"/>
      <c r="X171" s="35"/>
      <c r="Y171" s="35"/>
      <c r="Z171" s="35"/>
      <c r="AA171" s="35"/>
      <c r="AC171" t="s">
        <v>100</v>
      </c>
    </row>
    <row r="172" spans="1:29" ht="18.75" customHeight="1" x14ac:dyDescent="0.25">
      <c r="A172" s="33"/>
      <c r="B172" s="33"/>
      <c r="C172" s="610"/>
      <c r="D172" s="611"/>
      <c r="E172" s="612"/>
      <c r="F172" s="307" t="s">
        <v>67</v>
      </c>
      <c r="G172" s="308"/>
      <c r="H172" s="308"/>
      <c r="I172" s="309"/>
      <c r="J172" s="313" t="str">
        <f>IF(Q167="","",IF(OR((Q169=AC175),(Q170=AC175),(Q171=AC175)),"Les échantillons ne sont pas assez  stables, utiliser Z'score pour évaluer la performance des participants","Les échantillons sont stables, le Zscore est à utiliser pour évaluer la performance des participants"))</f>
        <v/>
      </c>
      <c r="K172" s="314"/>
      <c r="L172" s="314"/>
      <c r="M172" s="314"/>
      <c r="N172" s="314"/>
      <c r="O172" s="314"/>
      <c r="P172" s="314"/>
      <c r="Q172" s="314"/>
      <c r="R172" s="314"/>
      <c r="S172" s="315"/>
      <c r="T172" s="35"/>
      <c r="U172" s="35"/>
      <c r="V172" s="35"/>
      <c r="W172" s="35"/>
      <c r="X172" s="35"/>
      <c r="Y172" s="35"/>
      <c r="Z172" s="35"/>
      <c r="AA172" s="35"/>
      <c r="AC172" t="s">
        <v>27</v>
      </c>
    </row>
    <row r="173" spans="1:29" ht="18.75" customHeight="1" thickBot="1" x14ac:dyDescent="0.3">
      <c r="A173" s="33"/>
      <c r="B173" s="33"/>
      <c r="C173" s="613"/>
      <c r="D173" s="614"/>
      <c r="E173" s="615"/>
      <c r="F173" s="310"/>
      <c r="G173" s="311"/>
      <c r="H173" s="311"/>
      <c r="I173" s="312"/>
      <c r="J173" s="316"/>
      <c r="K173" s="317"/>
      <c r="L173" s="317"/>
      <c r="M173" s="317"/>
      <c r="N173" s="317"/>
      <c r="O173" s="317"/>
      <c r="P173" s="317"/>
      <c r="Q173" s="317"/>
      <c r="R173" s="317"/>
      <c r="S173" s="318"/>
      <c r="T173" s="35"/>
      <c r="U173" s="35"/>
      <c r="V173" s="35"/>
      <c r="W173" s="35"/>
      <c r="X173" s="35"/>
      <c r="Y173" s="35"/>
      <c r="Z173" s="35"/>
      <c r="AA173" s="35"/>
      <c r="AC173" t="s">
        <v>37</v>
      </c>
    </row>
    <row r="174" spans="1:29" ht="19.5" customHeight="1" thickTop="1" thickBot="1" x14ac:dyDescent="0.3">
      <c r="A174" s="33"/>
      <c r="B174" s="33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C174" t="s">
        <v>41</v>
      </c>
    </row>
    <row r="175" spans="1:29" ht="21" customHeight="1" thickTop="1" thickBot="1" x14ac:dyDescent="0.3">
      <c r="A175" s="33"/>
      <c r="B175" s="319" t="s">
        <v>106</v>
      </c>
      <c r="C175" s="320"/>
      <c r="D175" s="320"/>
      <c r="E175" s="320"/>
      <c r="F175" s="320"/>
      <c r="G175" s="320"/>
      <c r="H175" s="320"/>
      <c r="I175" s="320"/>
      <c r="J175" s="320"/>
      <c r="K175" s="320"/>
      <c r="L175" s="320"/>
      <c r="M175" s="320"/>
      <c r="N175" s="320"/>
      <c r="O175" s="320"/>
      <c r="P175" s="320"/>
      <c r="Q175" s="320"/>
      <c r="R175" s="320"/>
      <c r="S175" s="320"/>
      <c r="T175" s="320"/>
      <c r="U175" s="320"/>
      <c r="V175" s="320"/>
      <c r="W175" s="321"/>
      <c r="X175" s="34"/>
      <c r="AC175" t="s">
        <v>42</v>
      </c>
    </row>
    <row r="176" spans="1:29" ht="16.5" customHeight="1" thickTop="1" thickBot="1" x14ac:dyDescent="0.3">
      <c r="A176" s="33"/>
      <c r="B176" s="33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C176" t="s">
        <v>103</v>
      </c>
    </row>
    <row r="177" spans="1:29" ht="22.5" customHeight="1" x14ac:dyDescent="0.25">
      <c r="A177" s="33"/>
      <c r="B177" s="33"/>
      <c r="C177" s="340" t="str">
        <f>L65</f>
        <v>Décision concernant les critères d'homogénéité selon ISO 13528 : 2020 Annexe B paragraphe B.2.</v>
      </c>
      <c r="D177" s="341"/>
      <c r="E177" s="341"/>
      <c r="F177" s="341"/>
      <c r="G177" s="341"/>
      <c r="H177" s="341"/>
      <c r="I177" s="341"/>
      <c r="J177" s="341"/>
      <c r="K177" s="342"/>
      <c r="L177" s="322" t="str">
        <f>S71</f>
        <v/>
      </c>
      <c r="M177" s="323"/>
      <c r="N177" s="323"/>
      <c r="O177" s="323"/>
      <c r="P177" s="323"/>
      <c r="Q177" s="323"/>
      <c r="R177" s="323"/>
      <c r="S177" s="323"/>
      <c r="T177" s="324"/>
    </row>
    <row r="178" spans="1:29" ht="27.75" customHeight="1" x14ac:dyDescent="0.25">
      <c r="A178" s="33"/>
      <c r="B178" s="33"/>
      <c r="C178" s="343"/>
      <c r="D178" s="344"/>
      <c r="E178" s="344"/>
      <c r="F178" s="344"/>
      <c r="G178" s="344"/>
      <c r="H178" s="344"/>
      <c r="I178" s="344"/>
      <c r="J178" s="344"/>
      <c r="K178" s="345"/>
      <c r="L178" s="325"/>
      <c r="M178" s="326"/>
      <c r="N178" s="326"/>
      <c r="O178" s="326"/>
      <c r="P178" s="326"/>
      <c r="Q178" s="326"/>
      <c r="R178" s="326"/>
      <c r="S178" s="326"/>
      <c r="T178" s="327"/>
    </row>
    <row r="179" spans="1:29" ht="31.5" customHeight="1" x14ac:dyDescent="0.25">
      <c r="A179" s="33"/>
      <c r="B179" s="33"/>
      <c r="C179" s="346" t="str">
        <f>C167</f>
        <v>Décision concernant les essais de stabilité selon ISO 13528 : 2020 Annexe B paragraphe B.5.</v>
      </c>
      <c r="D179" s="347"/>
      <c r="E179" s="347"/>
      <c r="F179" s="347"/>
      <c r="G179" s="347"/>
      <c r="H179" s="347"/>
      <c r="I179" s="347"/>
      <c r="J179" s="347"/>
      <c r="K179" s="348"/>
      <c r="L179" s="328" t="str">
        <f>J172</f>
        <v/>
      </c>
      <c r="M179" s="329"/>
      <c r="N179" s="329"/>
      <c r="O179" s="329"/>
      <c r="P179" s="329"/>
      <c r="Q179" s="329"/>
      <c r="R179" s="329"/>
      <c r="S179" s="329"/>
      <c r="T179" s="330"/>
      <c r="AC179" t="s">
        <v>104</v>
      </c>
    </row>
    <row r="180" spans="1:29" ht="15" customHeight="1" thickBot="1" x14ac:dyDescent="0.3">
      <c r="A180" s="33"/>
      <c r="B180" s="33"/>
      <c r="C180" s="349"/>
      <c r="D180" s="350"/>
      <c r="E180" s="350"/>
      <c r="F180" s="350"/>
      <c r="G180" s="350"/>
      <c r="H180" s="350"/>
      <c r="I180" s="350"/>
      <c r="J180" s="350"/>
      <c r="K180" s="351"/>
      <c r="L180" s="331"/>
      <c r="M180" s="332"/>
      <c r="N180" s="332"/>
      <c r="O180" s="332"/>
      <c r="P180" s="332"/>
      <c r="Q180" s="332"/>
      <c r="R180" s="332"/>
      <c r="S180" s="332"/>
      <c r="T180" s="333"/>
      <c r="AC180" t="s">
        <v>105</v>
      </c>
    </row>
    <row r="181" spans="1:29" ht="15" customHeight="1" thickTop="1" x14ac:dyDescent="0.25">
      <c r="A181" s="33"/>
      <c r="B181" s="33"/>
      <c r="C181" s="679" t="s">
        <v>109</v>
      </c>
      <c r="D181" s="680"/>
      <c r="E181" s="680"/>
      <c r="F181" s="680"/>
      <c r="G181" s="680"/>
      <c r="H181" s="680"/>
      <c r="I181" s="680"/>
      <c r="J181" s="680"/>
      <c r="K181" s="681"/>
      <c r="L181" s="334" t="str">
        <f>IF(AND(L177="",L179=""),"",IF(L177="Il faut prendre une décision concernant l'échantillon et son homogénieté","Il faut prendre une décision concernant l'échantillon et son homogénieté",IF(AND(L177=AC181,L179=AC179),"Utiliser le Zscore pour déterminer la performance des participants",IF(AND(L177=AC182,L179=AC179),"Utiliser σ'pt pour évaluer la performace des participants",IF(AND(L177=AC181,L179=AC180),"Z'score est à utiliser pour vérifier la performance des participants",IF(AND(L177=AC182,L179=AC180),"Z'score et σ'pt sont à utiliser pour vérifier la performance des participants"))))))</f>
        <v/>
      </c>
      <c r="M181" s="335"/>
      <c r="N181" s="335"/>
      <c r="O181" s="335"/>
      <c r="P181" s="335"/>
      <c r="Q181" s="335"/>
      <c r="R181" s="335"/>
      <c r="S181" s="335"/>
      <c r="T181" s="336"/>
      <c r="AC181" t="s">
        <v>107</v>
      </c>
    </row>
    <row r="182" spans="1:29" ht="15" customHeight="1" thickBot="1" x14ac:dyDescent="0.3">
      <c r="A182" s="33"/>
      <c r="B182" s="33"/>
      <c r="C182" s="682"/>
      <c r="D182" s="683"/>
      <c r="E182" s="683"/>
      <c r="F182" s="683"/>
      <c r="G182" s="683"/>
      <c r="H182" s="683"/>
      <c r="I182" s="683"/>
      <c r="J182" s="683"/>
      <c r="K182" s="684"/>
      <c r="L182" s="337"/>
      <c r="M182" s="338"/>
      <c r="N182" s="338"/>
      <c r="O182" s="338"/>
      <c r="P182" s="338"/>
      <c r="Q182" s="338"/>
      <c r="R182" s="338"/>
      <c r="S182" s="338"/>
      <c r="T182" s="339"/>
      <c r="AC182" t="s">
        <v>108</v>
      </c>
    </row>
    <row r="183" spans="1:29" ht="15" customHeight="1" thickTop="1" x14ac:dyDescent="0.25">
      <c r="A183" s="33"/>
      <c r="B183" s="33"/>
    </row>
    <row r="184" spans="1:29" ht="15.75" customHeight="1" x14ac:dyDescent="0.25">
      <c r="A184" s="33"/>
      <c r="B184" s="33"/>
    </row>
    <row r="185" spans="1:29" x14ac:dyDescent="0.25">
      <c r="A185" s="33"/>
      <c r="B185" s="33"/>
    </row>
    <row r="186" spans="1:29" ht="15.75" x14ac:dyDescent="0.25">
      <c r="A186" s="33"/>
      <c r="C186" s="369" t="s">
        <v>113</v>
      </c>
      <c r="D186" s="369"/>
      <c r="E186" s="301" t="s">
        <v>275</v>
      </c>
      <c r="F186" s="302"/>
      <c r="G186" s="50"/>
      <c r="N186" s="4"/>
      <c r="Q186" s="369" t="s">
        <v>55</v>
      </c>
      <c r="R186" s="369"/>
      <c r="S186" s="300" t="s">
        <v>273</v>
      </c>
      <c r="T186" s="300"/>
    </row>
    <row r="187" spans="1:29" ht="22.5" customHeight="1" x14ac:dyDescent="0.25">
      <c r="A187" s="33"/>
      <c r="C187" s="297" t="s">
        <v>11</v>
      </c>
      <c r="D187" s="297"/>
      <c r="E187" s="298"/>
      <c r="F187" s="299"/>
      <c r="G187" s="51"/>
      <c r="N187" s="4"/>
      <c r="Q187" s="297" t="s">
        <v>11</v>
      </c>
      <c r="R187" s="297"/>
      <c r="S187" s="303"/>
      <c r="T187" s="300"/>
    </row>
    <row r="188" spans="1:29" ht="39.75" customHeight="1" x14ac:dyDescent="0.25">
      <c r="A188" s="33"/>
      <c r="C188" s="297" t="s">
        <v>12</v>
      </c>
      <c r="D188" s="297"/>
      <c r="E188" s="301" t="s">
        <v>272</v>
      </c>
      <c r="F188" s="302"/>
      <c r="G188" s="50"/>
      <c r="N188" s="4"/>
      <c r="Q188" s="297" t="s">
        <v>12</v>
      </c>
      <c r="R188" s="297"/>
      <c r="S188" s="300" t="s">
        <v>274</v>
      </c>
      <c r="T188" s="300"/>
    </row>
    <row r="189" spans="1:29" ht="20.25" customHeight="1" x14ac:dyDescent="0.25">
      <c r="C189" s="52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2"/>
      <c r="Q189" s="5"/>
      <c r="S189" s="53"/>
      <c r="T189" s="54"/>
    </row>
    <row r="190" spans="1:29" ht="19.5" customHeight="1" x14ac:dyDescent="0.25">
      <c r="C190" s="52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2"/>
      <c r="Q190" s="5"/>
      <c r="S190" s="53"/>
      <c r="T190" s="54"/>
    </row>
    <row r="191" spans="1:29" ht="24.75" customHeight="1" x14ac:dyDescent="0.25">
      <c r="C191" s="287" t="s">
        <v>238</v>
      </c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9"/>
    </row>
    <row r="192" spans="1:29" ht="17.25" customHeight="1" x14ac:dyDescent="0.25">
      <c r="C192" s="290"/>
      <c r="D192" s="246"/>
      <c r="E192" s="246"/>
      <c r="F192" s="246"/>
      <c r="G192" s="246"/>
      <c r="H192" s="246"/>
      <c r="I192" s="246"/>
      <c r="J192" s="246"/>
      <c r="K192" s="246"/>
      <c r="L192" s="246"/>
      <c r="M192" s="246"/>
      <c r="N192" s="246"/>
      <c r="O192" s="246"/>
      <c r="P192" s="246"/>
      <c r="Q192" s="246"/>
      <c r="R192" s="246"/>
      <c r="S192" s="246"/>
      <c r="T192" s="246"/>
      <c r="U192" s="246"/>
      <c r="V192" s="246"/>
      <c r="W192" s="291"/>
    </row>
    <row r="193" spans="3:23" ht="15.75" customHeight="1" x14ac:dyDescent="0.25">
      <c r="C193" s="292"/>
      <c r="D193" s="293"/>
      <c r="E193" s="293"/>
      <c r="F193" s="293"/>
      <c r="G193" s="293"/>
      <c r="H193" s="293"/>
      <c r="I193" s="293"/>
      <c r="J193" s="293"/>
      <c r="K193" s="293"/>
      <c r="L193" s="293"/>
      <c r="M193" s="293"/>
      <c r="N193" s="293"/>
      <c r="O193" s="293"/>
      <c r="P193" s="293"/>
      <c r="Q193" s="293"/>
      <c r="R193" s="293"/>
      <c r="S193" s="293"/>
      <c r="T193" s="293"/>
      <c r="U193" s="293"/>
      <c r="V193" s="293"/>
      <c r="W193" s="294"/>
    </row>
    <row r="194" spans="3:23" ht="15" customHeight="1" x14ac:dyDescent="0.25"/>
  </sheetData>
  <sheetProtection algorithmName="SHA-512" hashValue="6xP76yskrpptkNFrL+NFs4EOVcLZuJgWmuji6x+prUrHtaqvUxo8IuTnHPmgyPTFPE9zNYzLepbwiLTASqpILw==" saltValue="2IBAO8uOBXIXF1Z9qiQXng==" spinCount="100000" sheet="1" objects="1" scenarios="1"/>
  <mergeCells count="257">
    <mergeCell ref="C191:W193"/>
    <mergeCell ref="N140:N141"/>
    <mergeCell ref="E153:F153"/>
    <mergeCell ref="P153:Q153"/>
    <mergeCell ref="R153:S153"/>
    <mergeCell ref="P154:U154"/>
    <mergeCell ref="R149:V149"/>
    <mergeCell ref="R150:V151"/>
    <mergeCell ref="B149:D149"/>
    <mergeCell ref="B150:D151"/>
    <mergeCell ref="H149:L149"/>
    <mergeCell ref="H150:L151"/>
    <mergeCell ref="P155:U155"/>
    <mergeCell ref="C159:E159"/>
    <mergeCell ref="C167:E173"/>
    <mergeCell ref="Q167:S167"/>
    <mergeCell ref="Q168:S168"/>
    <mergeCell ref="Q169:S169"/>
    <mergeCell ref="Q170:S170"/>
    <mergeCell ref="C181:K182"/>
    <mergeCell ref="E188:F188"/>
    <mergeCell ref="C160:D160"/>
    <mergeCell ref="C161:D161"/>
    <mergeCell ref="C162:D162"/>
    <mergeCell ref="X140:X141"/>
    <mergeCell ref="C154:H154"/>
    <mergeCell ref="C155:H155"/>
    <mergeCell ref="B134:L134"/>
    <mergeCell ref="M134:W134"/>
    <mergeCell ref="F138:H138"/>
    <mergeCell ref="S138:T138"/>
    <mergeCell ref="P138:R138"/>
    <mergeCell ref="B137:C137"/>
    <mergeCell ref="B138:C138"/>
    <mergeCell ref="I138:J138"/>
    <mergeCell ref="P140:P141"/>
    <mergeCell ref="F140:F141"/>
    <mergeCell ref="B142:B143"/>
    <mergeCell ref="B144:B145"/>
    <mergeCell ref="B140:C141"/>
    <mergeCell ref="C142:C143"/>
    <mergeCell ref="C144:C145"/>
    <mergeCell ref="C153:D153"/>
    <mergeCell ref="I154:K155"/>
    <mergeCell ref="G140:M140"/>
    <mergeCell ref="H146:M146"/>
    <mergeCell ref="H147:M147"/>
    <mergeCell ref="V154:X155"/>
    <mergeCell ref="C124:F124"/>
    <mergeCell ref="C125:F126"/>
    <mergeCell ref="K124:O124"/>
    <mergeCell ref="K125:O126"/>
    <mergeCell ref="C129:H129"/>
    <mergeCell ref="C130:H130"/>
    <mergeCell ref="B106:L106"/>
    <mergeCell ref="F108:H108"/>
    <mergeCell ref="F111:H111"/>
    <mergeCell ref="C115:F116"/>
    <mergeCell ref="I115:I116"/>
    <mergeCell ref="C128:D128"/>
    <mergeCell ref="E128:F128"/>
    <mergeCell ref="C119:C120"/>
    <mergeCell ref="D119:F120"/>
    <mergeCell ref="I129:K130"/>
    <mergeCell ref="K121:P121"/>
    <mergeCell ref="K122:P122"/>
    <mergeCell ref="Q115:Q116"/>
    <mergeCell ref="C117:C118"/>
    <mergeCell ref="D117:F118"/>
    <mergeCell ref="D88:F89"/>
    <mergeCell ref="D90:F91"/>
    <mergeCell ref="C101:H101"/>
    <mergeCell ref="C102:H102"/>
    <mergeCell ref="I86:I87"/>
    <mergeCell ref="Q86:Q87"/>
    <mergeCell ref="C112:E112"/>
    <mergeCell ref="C113:E113"/>
    <mergeCell ref="C86:F87"/>
    <mergeCell ref="J115:P115"/>
    <mergeCell ref="K93:P93"/>
    <mergeCell ref="E56:F56"/>
    <mergeCell ref="C51:J51"/>
    <mergeCell ref="L65:N72"/>
    <mergeCell ref="P56:Q56"/>
    <mergeCell ref="R56:S56"/>
    <mergeCell ref="L55:M55"/>
    <mergeCell ref="N55:O55"/>
    <mergeCell ref="P55:Q55"/>
    <mergeCell ref="R55:S55"/>
    <mergeCell ref="H56:J57"/>
    <mergeCell ref="L58:M58"/>
    <mergeCell ref="N58:O58"/>
    <mergeCell ref="P58:Q58"/>
    <mergeCell ref="R58:S58"/>
    <mergeCell ref="C55:D55"/>
    <mergeCell ref="C56:D56"/>
    <mergeCell ref="E55:F55"/>
    <mergeCell ref="O66:R66"/>
    <mergeCell ref="S66:AA66"/>
    <mergeCell ref="O69:R69"/>
    <mergeCell ref="L56:M56"/>
    <mergeCell ref="N56:O56"/>
    <mergeCell ref="H68:J68"/>
    <mergeCell ref="O71:R72"/>
    <mergeCell ref="C48:G48"/>
    <mergeCell ref="H48:J48"/>
    <mergeCell ref="AA48:AB48"/>
    <mergeCell ref="C53:D53"/>
    <mergeCell ref="E53:F53"/>
    <mergeCell ref="L54:M54"/>
    <mergeCell ref="N54:O54"/>
    <mergeCell ref="P54:Q54"/>
    <mergeCell ref="R54:S54"/>
    <mergeCell ref="L51:S51"/>
    <mergeCell ref="C52:D52"/>
    <mergeCell ref="E52:F52"/>
    <mergeCell ref="L52:S52"/>
    <mergeCell ref="L53:M53"/>
    <mergeCell ref="N53:O53"/>
    <mergeCell ref="P53:Q53"/>
    <mergeCell ref="R53:S53"/>
    <mergeCell ref="C54:D54"/>
    <mergeCell ref="E54:F54"/>
    <mergeCell ref="B20:B22"/>
    <mergeCell ref="C20:C22"/>
    <mergeCell ref="D20:D22"/>
    <mergeCell ref="E11:N11"/>
    <mergeCell ref="O11:X11"/>
    <mergeCell ref="E12:N12"/>
    <mergeCell ref="O12:X12"/>
    <mergeCell ref="B14:AA14"/>
    <mergeCell ref="C16:E16"/>
    <mergeCell ref="F16:H16"/>
    <mergeCell ref="T21:Z21"/>
    <mergeCell ref="T22:Z24"/>
    <mergeCell ref="E20:E22"/>
    <mergeCell ref="F20:F22"/>
    <mergeCell ref="G20:G22"/>
    <mergeCell ref="H20:H22"/>
    <mergeCell ref="I20:I22"/>
    <mergeCell ref="B2:D4"/>
    <mergeCell ref="E2:X4"/>
    <mergeCell ref="Y2:AA4"/>
    <mergeCell ref="E9:N9"/>
    <mergeCell ref="O9:X9"/>
    <mergeCell ref="E10:N10"/>
    <mergeCell ref="O10:X10"/>
    <mergeCell ref="C17:E17"/>
    <mergeCell ref="C18:E18"/>
    <mergeCell ref="E6:X7"/>
    <mergeCell ref="T45:Z45"/>
    <mergeCell ref="T46:Z47"/>
    <mergeCell ref="T25:Z25"/>
    <mergeCell ref="T26:Z26"/>
    <mergeCell ref="T34:Z34"/>
    <mergeCell ref="T35:Z37"/>
    <mergeCell ref="J20:J22"/>
    <mergeCell ref="K20:K22"/>
    <mergeCell ref="C46:G46"/>
    <mergeCell ref="H46:J46"/>
    <mergeCell ref="T38:Z38"/>
    <mergeCell ref="T39:Z39"/>
    <mergeCell ref="C45:J45"/>
    <mergeCell ref="C47:G47"/>
    <mergeCell ref="H47:J47"/>
    <mergeCell ref="AH62:AL63"/>
    <mergeCell ref="C58:D58"/>
    <mergeCell ref="E58:F58"/>
    <mergeCell ref="C59:D59"/>
    <mergeCell ref="E59:F59"/>
    <mergeCell ref="C57:D57"/>
    <mergeCell ref="E57:F57"/>
    <mergeCell ref="L57:M57"/>
    <mergeCell ref="N57:O57"/>
    <mergeCell ref="P57:Q57"/>
    <mergeCell ref="R57:S57"/>
    <mergeCell ref="L59:M59"/>
    <mergeCell ref="N59:O59"/>
    <mergeCell ref="P59:Q59"/>
    <mergeCell ref="R59:S59"/>
    <mergeCell ref="C60:D60"/>
    <mergeCell ref="E60:F60"/>
    <mergeCell ref="C61:D61"/>
    <mergeCell ref="H62:J63"/>
    <mergeCell ref="E61:F61"/>
    <mergeCell ref="L60:M60"/>
    <mergeCell ref="N60:O60"/>
    <mergeCell ref="P60:Q60"/>
    <mergeCell ref="R60:S60"/>
    <mergeCell ref="S70:AA70"/>
    <mergeCell ref="O70:R70"/>
    <mergeCell ref="C62:G62"/>
    <mergeCell ref="C63:G63"/>
    <mergeCell ref="C66:J66"/>
    <mergeCell ref="C67:G67"/>
    <mergeCell ref="C68:G68"/>
    <mergeCell ref="B77:W77"/>
    <mergeCell ref="S67:AA67"/>
    <mergeCell ref="O68:R68"/>
    <mergeCell ref="S68:AA68"/>
    <mergeCell ref="H67:J67"/>
    <mergeCell ref="O65:R65"/>
    <mergeCell ref="S65:AA65"/>
    <mergeCell ref="S71:AA72"/>
    <mergeCell ref="S69:AA69"/>
    <mergeCell ref="B79:W79"/>
    <mergeCell ref="F81:H81"/>
    <mergeCell ref="C83:E83"/>
    <mergeCell ref="C84:E84"/>
    <mergeCell ref="C100:D100"/>
    <mergeCell ref="E100:F100"/>
    <mergeCell ref="C111:E111"/>
    <mergeCell ref="K95:O95"/>
    <mergeCell ref="K96:O97"/>
    <mergeCell ref="M106:W106"/>
    <mergeCell ref="C88:C89"/>
    <mergeCell ref="C90:C91"/>
    <mergeCell ref="C95:F95"/>
    <mergeCell ref="C96:F97"/>
    <mergeCell ref="C108:E108"/>
    <mergeCell ref="I108:L109"/>
    <mergeCell ref="M108:W109"/>
    <mergeCell ref="I101:K102"/>
    <mergeCell ref="F82:H82"/>
    <mergeCell ref="C82:E82"/>
    <mergeCell ref="C81:E81"/>
    <mergeCell ref="J86:P86"/>
    <mergeCell ref="K92:P92"/>
    <mergeCell ref="C163:D163"/>
    <mergeCell ref="F167:P167"/>
    <mergeCell ref="F168:P168"/>
    <mergeCell ref="F169:P169"/>
    <mergeCell ref="F170:P170"/>
    <mergeCell ref="R146:W146"/>
    <mergeCell ref="R147:W147"/>
    <mergeCell ref="Q140:W140"/>
    <mergeCell ref="C186:D186"/>
    <mergeCell ref="Q186:R186"/>
    <mergeCell ref="S186:T186"/>
    <mergeCell ref="Q171:S171"/>
    <mergeCell ref="C188:D188"/>
    <mergeCell ref="E187:F187"/>
    <mergeCell ref="Q188:R188"/>
    <mergeCell ref="S188:T188"/>
    <mergeCell ref="C187:D187"/>
    <mergeCell ref="E186:F186"/>
    <mergeCell ref="Q187:R187"/>
    <mergeCell ref="S187:T187"/>
    <mergeCell ref="F171:P171"/>
    <mergeCell ref="F172:I173"/>
    <mergeCell ref="J172:S173"/>
    <mergeCell ref="B175:W175"/>
    <mergeCell ref="L177:T178"/>
    <mergeCell ref="L179:T180"/>
    <mergeCell ref="L181:T182"/>
    <mergeCell ref="C177:K178"/>
    <mergeCell ref="C179:K180"/>
  </mergeCells>
  <phoneticPr fontId="32" type="noConversion"/>
  <conditionalFormatting sqref="C46:C47 C48:G49 D50:H50 C69:G74 M74:Q75 C96 K96 C125 K125 C127:G127 B150 H150">
    <cfRule type="cellIs" dxfId="241" priority="98" operator="equal">
      <formula>$AF$9</formula>
    </cfRule>
    <cfRule type="cellIs" dxfId="240" priority="97" operator="equal">
      <formula>$AF$5</formula>
    </cfRule>
  </conditionalFormatting>
  <conditionalFormatting sqref="C63 E64:G65">
    <cfRule type="cellIs" dxfId="239" priority="110" operator="equal">
      <formula>$AF$24</formula>
    </cfRule>
    <cfRule type="cellIs" dxfId="238" priority="109" operator="equal">
      <formula>$AF$23</formula>
    </cfRule>
  </conditionalFormatting>
  <conditionalFormatting sqref="C63">
    <cfRule type="cellIs" dxfId="237" priority="113" operator="equal">
      <formula>$AF$10</formula>
    </cfRule>
    <cfRule type="cellIs" dxfId="236" priority="111" operator="equal">
      <formula>$AF$13</formula>
    </cfRule>
    <cfRule type="cellIs" dxfId="235" priority="112" operator="equal">
      <formula>$AF$11</formula>
    </cfRule>
  </conditionalFormatting>
  <conditionalFormatting sqref="C67:C68">
    <cfRule type="cellIs" dxfId="234" priority="33" operator="equal">
      <formula>$AF$9</formula>
    </cfRule>
    <cfRule type="cellIs" dxfId="233" priority="32" operator="equal">
      <formula>$AF$5</formula>
    </cfRule>
  </conditionalFormatting>
  <conditionalFormatting sqref="C102 C130 C155">
    <cfRule type="cellIs" dxfId="232" priority="115" operator="equal">
      <formula>"Vérifier le critère B.5.2.c"</formula>
    </cfRule>
    <cfRule type="cellIs" dxfId="231" priority="89" operator="equal">
      <formula>$AF$13</formula>
    </cfRule>
    <cfRule type="cellIs" dxfId="230" priority="114" operator="equal">
      <formula>$AF$17</formula>
    </cfRule>
  </conditionalFormatting>
  <conditionalFormatting sqref="C102:H102">
    <cfRule type="cellIs" dxfId="229" priority="7" operator="equal">
      <formula>"Les échantillons ne sont pas stables"</formula>
    </cfRule>
  </conditionalFormatting>
  <conditionalFormatting sqref="C130:H130">
    <cfRule type="cellIs" dxfId="228" priority="6" operator="equal">
      <formula>"Les échantillons ne sont pas stables"</formula>
    </cfRule>
  </conditionalFormatting>
  <conditionalFormatting sqref="C132:H132">
    <cfRule type="cellIs" dxfId="227" priority="71" operator="equal">
      <formula>$AF$17</formula>
    </cfRule>
    <cfRule type="cellIs" dxfId="226" priority="122" operator="equal">
      <formula>$AF$18</formula>
    </cfRule>
  </conditionalFormatting>
  <conditionalFormatting sqref="C155:H155">
    <cfRule type="cellIs" dxfId="225" priority="5" operator="equal">
      <formula>"Les échantillons ne sont pas stables"</formula>
    </cfRule>
  </conditionalFormatting>
  <conditionalFormatting sqref="D157:H158">
    <cfRule type="cellIs" dxfId="224" priority="77" operator="equal">
      <formula>$AF$17</formula>
    </cfRule>
    <cfRule type="cellIs" dxfId="223" priority="78" operator="equal">
      <formula>"Les échantillons ne sont pas stables"</formula>
    </cfRule>
    <cfRule type="cellIs" dxfId="222" priority="76" operator="equal">
      <formula>$AF$13</formula>
    </cfRule>
  </conditionalFormatting>
  <conditionalFormatting sqref="H48:J48">
    <cfRule type="cellIs" dxfId="221" priority="45" operator="equal">
      <formula>"Le rapport sr/σpt est supérieur à 0,5"</formula>
    </cfRule>
  </conditionalFormatting>
  <conditionalFormatting sqref="H48:J49">
    <cfRule type="containsText" dxfId="220" priority="48" operator="containsText" text="Le rapport sr/σpt est inférieur à 0,5">
      <formula>NOT(ISERROR(SEARCH("Le rapport sr/σpt est inférieur à 0,5",H48)))</formula>
    </cfRule>
    <cfRule type="cellIs" dxfId="219" priority="47" operator="equal">
      <formula>"Le rapport sr/σpt est supérieur ou égal à 0,5"</formula>
    </cfRule>
  </conditionalFormatting>
  <conditionalFormatting sqref="H56:J57">
    <cfRule type="cellIs" dxfId="218" priority="26" operator="equal">
      <formula>"La variance intra-échantillon est supérieur à variance composée"</formula>
    </cfRule>
  </conditionalFormatting>
  <conditionalFormatting sqref="H68:J68">
    <cfRule type="cellIs" dxfId="217" priority="24" operator="equal">
      <formula>$AF$12</formula>
    </cfRule>
    <cfRule type="cellIs" dxfId="216" priority="25" operator="equal">
      <formula>$AF$13</formula>
    </cfRule>
  </conditionalFormatting>
  <conditionalFormatting sqref="H68:J74">
    <cfRule type="cellIs" dxfId="215" priority="27" operator="equal">
      <formula>"Il faut remplacer l'échantillon"</formula>
    </cfRule>
    <cfRule type="containsText" dxfId="214" priority="31" operator="containsText" text="Le rapport sr/σpt est inférieur à 0,5">
      <formula>NOT(ISERROR(SEARCH("Le rapport sr/σpt est inférieur à 0,5",H68)))</formula>
    </cfRule>
    <cfRule type="cellIs" dxfId="213" priority="30" operator="equal">
      <formula>"Le rapport sr/σpt est supérieur ou égal à 0,5"</formula>
    </cfRule>
    <cfRule type="cellIs" dxfId="212" priority="29" operator="equal">
      <formula>"Le rapport sr/σpt est supérieur à 0,5"</formula>
    </cfRule>
  </conditionalFormatting>
  <conditionalFormatting sqref="J172">
    <cfRule type="cellIs" dxfId="211" priority="56" operator="equal">
      <formula>$AC$178</formula>
    </cfRule>
    <cfRule type="cellIs" dxfId="210" priority="57" operator="equal">
      <formula>$AC$179</formula>
    </cfRule>
  </conditionalFormatting>
  <conditionalFormatting sqref="J172:S173">
    <cfRule type="cellIs" dxfId="209" priority="9" operator="equal">
      <formula>"Les échantillons ne sont pas assez  stables, utiliser Z'score pour évaluer la performance des participants"</formula>
    </cfRule>
    <cfRule type="cellIs" dxfId="208" priority="8" operator="equal">
      <formula>"Les échantillons sont stables, le Zscore est à utiliser pour évaluer la performance des participants"</formula>
    </cfRule>
  </conditionalFormatting>
  <conditionalFormatting sqref="M106">
    <cfRule type="cellIs" dxfId="207" priority="327" operator="equal">
      <formula>$AF$19</formula>
    </cfRule>
    <cfRule type="cellIs" dxfId="206" priority="326" operator="equal">
      <formula>$AF$20</formula>
    </cfRule>
  </conditionalFormatting>
  <conditionalFormatting sqref="M134">
    <cfRule type="cellIs" dxfId="205" priority="118" operator="equal">
      <formula>$AF$21</formula>
    </cfRule>
    <cfRule type="cellIs" dxfId="204" priority="119" operator="equal">
      <formula>$AF$22</formula>
    </cfRule>
  </conditionalFormatting>
  <conditionalFormatting sqref="M45:T45">
    <cfRule type="cellIs" dxfId="203" priority="49" operator="equal">
      <formula>"Si vous avez eu recours à l'élimination de certains échantillons au niveau du test de Cochran merci de les indiquer ci-dessous"</formula>
    </cfRule>
  </conditionalFormatting>
  <conditionalFormatting sqref="P155">
    <cfRule type="cellIs" dxfId="202" priority="4" operator="equal">
      <formula>"Vérifier le critère B.5.2.c"</formula>
    </cfRule>
    <cfRule type="cellIs" dxfId="201" priority="3" operator="equal">
      <formula>$AF$17</formula>
    </cfRule>
    <cfRule type="cellIs" dxfId="200" priority="2" operator="equal">
      <formula>$AF$13</formula>
    </cfRule>
  </conditionalFormatting>
  <conditionalFormatting sqref="P96:T97">
    <cfRule type="cellIs" dxfId="199" priority="91" operator="equal">
      <formula>$AF$5</formula>
    </cfRule>
    <cfRule type="cellIs" dxfId="198" priority="92" operator="equal">
      <formula>$AF$9</formula>
    </cfRule>
  </conditionalFormatting>
  <conditionalFormatting sqref="P155:U155">
    <cfRule type="cellIs" dxfId="197" priority="1" operator="equal">
      <formula>"Les échantillons ne sont pas stables"</formula>
    </cfRule>
  </conditionalFormatting>
  <conditionalFormatting sqref="R74:T75">
    <cfRule type="cellIs" dxfId="196" priority="35" operator="equal">
      <formula>"Le rapport sr/σpt est supérieur ou égal à 0,5"</formula>
    </cfRule>
    <cfRule type="cellIs" dxfId="195" priority="34" operator="equal">
      <formula>"Le rapport sr/σpt est supérieur à 0,5"</formula>
    </cfRule>
    <cfRule type="containsText" dxfId="194" priority="36" operator="containsText" text="Le rapport sr/σpt est inférieur à 0,5">
      <formula>NOT(ISERROR(SEARCH("Le rapport sr/σpt est inférieur à 0,5",R74)))</formula>
    </cfRule>
  </conditionalFormatting>
  <conditionalFormatting sqref="R150:V151">
    <cfRule type="cellIs" dxfId="193" priority="83" operator="equal">
      <formula>$AF$5</formula>
    </cfRule>
    <cfRule type="cellIs" dxfId="192" priority="84" operator="equal">
      <formula>$AF$9</formula>
    </cfRule>
  </conditionalFormatting>
  <conditionalFormatting sqref="S65:AA65">
    <cfRule type="cellIs" dxfId="191" priority="22" operator="equal">
      <formula>$AF$5</formula>
    </cfRule>
    <cfRule type="cellIs" dxfId="190" priority="23" operator="equal">
      <formula>$AF$9</formula>
    </cfRule>
  </conditionalFormatting>
  <conditionalFormatting sqref="S66:AA66">
    <cfRule type="cellIs" dxfId="189" priority="21" operator="equal">
      <formula>$AF$1</formula>
    </cfRule>
    <cfRule type="cellIs" dxfId="188" priority="20" operator="equal">
      <formula>$AF$2</formula>
    </cfRule>
  </conditionalFormatting>
  <conditionalFormatting sqref="S67:AA67">
    <cfRule type="cellIs" dxfId="187" priority="19" operator="equal">
      <formula>$AF$3</formula>
    </cfRule>
    <cfRule type="cellIs" dxfId="186" priority="18" operator="equal">
      <formula>$AF$4</formula>
    </cfRule>
  </conditionalFormatting>
  <conditionalFormatting sqref="S68:AA68">
    <cfRule type="cellIs" dxfId="185" priority="17" operator="equal">
      <formula>$AF$8</formula>
    </cfRule>
  </conditionalFormatting>
  <conditionalFormatting sqref="S69:AA69">
    <cfRule type="cellIs" dxfId="184" priority="16" operator="equal">
      <formula>$AF$23</formula>
    </cfRule>
    <cfRule type="cellIs" dxfId="183" priority="15" operator="equal">
      <formula>$AF$24</formula>
    </cfRule>
  </conditionalFormatting>
  <conditionalFormatting sqref="S70:AA70">
    <cfRule type="cellIs" dxfId="182" priority="13" operator="equal">
      <formula>$AF$12</formula>
    </cfRule>
  </conditionalFormatting>
  <conditionalFormatting sqref="S70:AA73">
    <cfRule type="cellIs" dxfId="181" priority="14" operator="equal">
      <formula>$AF$13</formula>
    </cfRule>
  </conditionalFormatting>
  <conditionalFormatting sqref="S71:AA72">
    <cfRule type="cellIs" dxfId="180" priority="12" operator="equal">
      <formula>"Un des critères d'homogénéité décrit dans l'annexe B de la norme ISO 13528:2022 n'est pas respecté, σ'pt est à utiliser pour évaluer la performance des participants"</formula>
    </cfRule>
    <cfRule type="cellIs" dxfId="179" priority="11" operator="equal">
      <formula>"L'échantillon n'est pas homogène il faut changer d'entité soumise à l'essai"</formula>
    </cfRule>
    <cfRule type="cellIs" dxfId="178" priority="10" operator="equal">
      <formula>"Les échantillons sont homogènes selon les critères de l'annexe B de la norme ISO 13528:2022, σpt est à utiliser pour évaluer la performance des participants"</formula>
    </cfRule>
    <cfRule type="cellIs" dxfId="177" priority="28" operator="equal">
      <formula>"Refaire les essais d'homogénieté avec un autre échantillon"</formula>
    </cfRule>
  </conditionalFormatting>
  <conditionalFormatting sqref="T22">
    <cfRule type="cellIs" dxfId="176" priority="132" operator="equal">
      <formula>$AF$2</formula>
    </cfRule>
    <cfRule type="cellIs" dxfId="175" priority="133" operator="equal">
      <formula>$AF$1</formula>
    </cfRule>
  </conditionalFormatting>
  <conditionalFormatting sqref="T35 T38:Z39">
    <cfRule type="cellIs" dxfId="174" priority="130" operator="equal">
      <formula>$AF$4</formula>
    </cfRule>
    <cfRule type="cellIs" dxfId="173" priority="131" operator="equal">
      <formula>$AF$3</formula>
    </cfRule>
  </conditionalFormatting>
  <conditionalFormatting sqref="T46:Z47">
    <cfRule type="cellIs" dxfId="172" priority="46" operator="equal">
      <formula>"Pas de valeurs aberrantes détectées"</formula>
    </cfRule>
  </conditionalFormatting>
  <conditionalFormatting sqref="U74:AA75 S76:AA76 S71:AA73">
    <cfRule type="cellIs" dxfId="171" priority="79" operator="equal">
      <formula>"Un des critères d'homogénéité décrit dans l'annexe B de la norme ISO 13528:2022 n'est pas respecté, σ'pt est à utiliser pour évaluer la performance des participants"</formula>
    </cfRule>
    <cfRule type="cellIs" dxfId="170" priority="80" operator="equal">
      <formula>"Les échantillons sont homogènes selon les critères de l'annexe B de la norme ISO 13528:2022, σpt est à utiliser pour évaluer la performance des participants"</formula>
    </cfRule>
  </conditionalFormatting>
  <conditionalFormatting sqref="U74:AA75 S76:AA76">
    <cfRule type="cellIs" dxfId="169" priority="44" operator="equal">
      <formula>$AF$13</formula>
    </cfRule>
  </conditionalFormatting>
  <dataValidations count="6">
    <dataValidation type="list" allowBlank="1" showInputMessage="1" showErrorMessage="1" sqref="Q168:S168" xr:uid="{540E1370-2816-4963-B818-6B3C066ADF00}">
      <formula1>$AC$170:$AC$171</formula1>
    </dataValidation>
    <dataValidation type="list" allowBlank="1" showInputMessage="1" showErrorMessage="1" sqref="O12" xr:uid="{F0627CBF-263C-4A7A-A594-622673660109}">
      <formula1>$AF$26:$AF$27</formula1>
    </dataValidation>
    <dataValidation type="list" allowBlank="1" showInputMessage="1" showErrorMessage="1" sqref="T35" xr:uid="{59EA832E-E3FC-49A0-ADBF-EC0633695957}">
      <formula1>$AF$3:$AF$4</formula1>
    </dataValidation>
    <dataValidation type="list" allowBlank="1" showInputMessage="1" showErrorMessage="1" sqref="T22" xr:uid="{4C77AC4C-839B-4830-9EF0-7599CA28527F}">
      <formula1>$AF$1:$AF$2</formula1>
    </dataValidation>
    <dataValidation type="list" allowBlank="1" showInputMessage="1" showErrorMessage="1" sqref="M134" xr:uid="{53B6B84A-13DA-46F9-8C86-ED4BF2E24298}">
      <formula1>$AF$21:$AF$22</formula1>
    </dataValidation>
    <dataValidation type="list" allowBlank="1" showInputMessage="1" showErrorMessage="1" sqref="M106:W106" xr:uid="{C072EDAF-3158-475C-AD12-529C6D981E52}">
      <formula1>$AF$19:$AF$20</formula1>
    </dataValidation>
  </dataValidations>
  <pageMargins left="0.7" right="0.7" top="0.75" bottom="0.75" header="0.3" footer="0.3"/>
  <pageSetup paperSize="9" scale="22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F449-F8BC-4DFF-BEC0-1FF1590E79A8}">
  <sheetPr>
    <pageSetUpPr fitToPage="1"/>
  </sheetPr>
  <dimension ref="B1:W57"/>
  <sheetViews>
    <sheetView topLeftCell="A31" zoomScale="80" zoomScaleNormal="80" workbookViewId="0">
      <selection activeCell="M2" sqref="M2:O4"/>
    </sheetView>
  </sheetViews>
  <sheetFormatPr baseColWidth="10" defaultRowHeight="15" x14ac:dyDescent="0.25"/>
  <cols>
    <col min="3" max="3" width="14.140625" customWidth="1"/>
    <col min="6" max="6" width="11.5703125" customWidth="1"/>
    <col min="7" max="7" width="11.28515625" customWidth="1"/>
    <col min="14" max="14" width="14.7109375" customWidth="1"/>
  </cols>
  <sheetData>
    <row r="1" spans="2:23" ht="15.75" thickBot="1" x14ac:dyDescent="0.3"/>
    <row r="2" spans="2:23" ht="15" customHeight="1" x14ac:dyDescent="0.25">
      <c r="B2" s="213"/>
      <c r="C2" s="214"/>
      <c r="D2" s="215"/>
      <c r="E2" s="693" t="s">
        <v>17</v>
      </c>
      <c r="F2" s="694"/>
      <c r="G2" s="694"/>
      <c r="H2" s="694"/>
      <c r="I2" s="694"/>
      <c r="J2" s="694"/>
      <c r="K2" s="694"/>
      <c r="L2" s="695"/>
      <c r="M2" s="284" t="s">
        <v>319</v>
      </c>
      <c r="N2" s="284"/>
      <c r="O2" s="284"/>
    </row>
    <row r="3" spans="2:23" ht="15" customHeight="1" x14ac:dyDescent="0.25">
      <c r="B3" s="216"/>
      <c r="C3" s="217"/>
      <c r="D3" s="218"/>
      <c r="E3" s="696"/>
      <c r="F3" s="697"/>
      <c r="G3" s="697"/>
      <c r="H3" s="697"/>
      <c r="I3" s="697"/>
      <c r="J3" s="697"/>
      <c r="K3" s="697"/>
      <c r="L3" s="698"/>
      <c r="M3" s="285"/>
      <c r="N3" s="285"/>
      <c r="O3" s="285"/>
    </row>
    <row r="4" spans="2:23" ht="15.75" customHeight="1" thickBot="1" x14ac:dyDescent="0.3">
      <c r="B4" s="219"/>
      <c r="C4" s="220"/>
      <c r="D4" s="221"/>
      <c r="E4" s="699"/>
      <c r="F4" s="700"/>
      <c r="G4" s="700"/>
      <c r="H4" s="700"/>
      <c r="I4" s="700"/>
      <c r="J4" s="700"/>
      <c r="K4" s="700"/>
      <c r="L4" s="701"/>
      <c r="M4" s="286"/>
      <c r="N4" s="286"/>
      <c r="O4" s="286"/>
    </row>
    <row r="5" spans="2:23" ht="21.75" thickBot="1" x14ac:dyDescent="0.3">
      <c r="B5" s="4"/>
      <c r="C5" s="4"/>
      <c r="D5" s="4"/>
      <c r="E5" s="115"/>
      <c r="F5" s="115"/>
      <c r="G5" s="115"/>
      <c r="H5" s="115"/>
      <c r="I5" s="115"/>
      <c r="J5" s="115"/>
      <c r="K5" s="115"/>
      <c r="L5" s="115"/>
      <c r="M5" s="87"/>
      <c r="N5" s="87"/>
      <c r="O5" s="87"/>
    </row>
    <row r="6" spans="2:23" ht="15" customHeight="1" x14ac:dyDescent="0.25">
      <c r="B6" s="4"/>
      <c r="C6" s="705" t="s">
        <v>237</v>
      </c>
      <c r="D6" s="706"/>
      <c r="E6" s="706"/>
      <c r="F6" s="706"/>
      <c r="G6" s="706"/>
      <c r="H6" s="706"/>
      <c r="I6" s="706"/>
      <c r="J6" s="706"/>
      <c r="K6" s="706"/>
      <c r="L6" s="707"/>
      <c r="M6" s="116"/>
      <c r="N6" s="116"/>
      <c r="O6" s="116"/>
      <c r="P6" s="116"/>
      <c r="Q6" s="116"/>
      <c r="R6" s="116"/>
      <c r="S6" s="116"/>
      <c r="T6" s="116"/>
      <c r="U6" s="116"/>
      <c r="V6" s="116"/>
    </row>
    <row r="7" spans="2:23" ht="15.75" customHeight="1" thickBot="1" x14ac:dyDescent="0.3">
      <c r="B7" s="4"/>
      <c r="C7" s="708"/>
      <c r="D7" s="709"/>
      <c r="E7" s="709"/>
      <c r="F7" s="709"/>
      <c r="G7" s="709"/>
      <c r="H7" s="709"/>
      <c r="I7" s="709"/>
      <c r="J7" s="709"/>
      <c r="K7" s="709"/>
      <c r="L7" s="710"/>
      <c r="M7" s="116"/>
      <c r="N7" s="116"/>
      <c r="O7" s="116"/>
      <c r="P7" s="116"/>
      <c r="Q7" s="116"/>
      <c r="R7" s="116"/>
      <c r="S7" s="116"/>
      <c r="T7" s="116"/>
      <c r="U7" s="116"/>
      <c r="V7" s="116"/>
    </row>
    <row r="8" spans="2:23" ht="15.75" thickBot="1" x14ac:dyDescent="0.3">
      <c r="C8" s="4"/>
      <c r="D8" s="4"/>
      <c r="E8" s="5"/>
      <c r="F8" s="5"/>
      <c r="G8" s="5"/>
      <c r="H8" s="5"/>
      <c r="I8" s="5"/>
      <c r="J8" s="5"/>
      <c r="K8" s="5"/>
      <c r="L8" s="5"/>
    </row>
    <row r="9" spans="2:23" ht="18.75" customHeight="1" thickBot="1" x14ac:dyDescent="0.3">
      <c r="D9" s="702" t="s">
        <v>14</v>
      </c>
      <c r="E9" s="703"/>
      <c r="F9" s="704"/>
      <c r="G9" s="690" t="str">
        <f>IF(D19="","",'Homogénéité-stabilité-quantita '!O9)</f>
        <v/>
      </c>
      <c r="H9" s="691"/>
      <c r="I9" s="691"/>
      <c r="J9" s="691"/>
      <c r="K9" s="692"/>
      <c r="L9" s="5"/>
      <c r="M9" s="5"/>
      <c r="N9" s="6"/>
    </row>
    <row r="10" spans="2:23" ht="16.5" thickBot="1" x14ac:dyDescent="0.3">
      <c r="D10" s="687" t="s">
        <v>10</v>
      </c>
      <c r="E10" s="688"/>
      <c r="F10" s="689"/>
      <c r="G10" s="690" t="str">
        <f>IF(D19="","",'Homogénéité-stabilité-quantita '!O10)</f>
        <v/>
      </c>
      <c r="H10" s="691"/>
      <c r="I10" s="691"/>
      <c r="J10" s="691"/>
      <c r="K10" s="692"/>
      <c r="L10" s="5"/>
      <c r="M10" s="5"/>
      <c r="N10" s="6"/>
    </row>
    <row r="11" spans="2:23" ht="16.5" thickBot="1" x14ac:dyDescent="0.3">
      <c r="D11" s="711" t="s">
        <v>23</v>
      </c>
      <c r="E11" s="712"/>
      <c r="F11" s="713"/>
      <c r="G11" s="714" t="str">
        <f>IF(D19="","",'Homogénéité-stabilité-quantita '!O11)</f>
        <v/>
      </c>
      <c r="H11" s="715"/>
      <c r="I11" s="715"/>
      <c r="J11" s="715"/>
      <c r="K11" s="716"/>
      <c r="L11" s="5"/>
      <c r="M11" s="5"/>
      <c r="N11" s="6"/>
    </row>
    <row r="12" spans="2:23" x14ac:dyDescent="0.25">
      <c r="C12" s="4"/>
      <c r="D12" s="4"/>
      <c r="E12" s="4"/>
      <c r="F12" s="7"/>
      <c r="G12" s="7"/>
      <c r="H12" s="7"/>
      <c r="I12" s="5"/>
      <c r="J12" s="5"/>
      <c r="K12" s="5"/>
      <c r="L12" s="5"/>
    </row>
    <row r="13" spans="2:23" x14ac:dyDescent="0.25">
      <c r="C13" s="554" t="s">
        <v>15</v>
      </c>
      <c r="D13" s="555"/>
      <c r="E13" s="556"/>
      <c r="F13" s="39" t="str">
        <f>IF(D19="","",COUNT(D19:D38))</f>
        <v/>
      </c>
      <c r="G13" s="11"/>
    </row>
    <row r="14" spans="2:23" ht="15" customHeight="1" x14ac:dyDescent="0.25">
      <c r="C14" s="554" t="s">
        <v>16</v>
      </c>
      <c r="D14" s="555"/>
      <c r="E14" s="556"/>
      <c r="F14" s="9" t="str">
        <f>IF(D19="","",COUNT(D19:I19))</f>
        <v/>
      </c>
      <c r="G14" s="11"/>
    </row>
    <row r="15" spans="2:23" ht="15.75" thickBot="1" x14ac:dyDescent="0.3"/>
    <row r="16" spans="2:23" ht="15" customHeight="1" x14ac:dyDescent="0.25">
      <c r="B16" s="563" t="s">
        <v>28</v>
      </c>
      <c r="C16" s="563" t="s">
        <v>20</v>
      </c>
      <c r="D16" s="532" t="s">
        <v>0</v>
      </c>
      <c r="E16" s="532" t="s">
        <v>1</v>
      </c>
      <c r="F16" s="532" t="s">
        <v>203</v>
      </c>
      <c r="G16" s="532" t="s">
        <v>204</v>
      </c>
      <c r="H16" s="532" t="s">
        <v>205</v>
      </c>
      <c r="I16" s="532" t="s">
        <v>206</v>
      </c>
      <c r="J16" s="532" t="s">
        <v>158</v>
      </c>
      <c r="K16" s="70"/>
      <c r="M16" s="476" t="s">
        <v>18</v>
      </c>
      <c r="N16" s="477"/>
      <c r="O16" s="477"/>
      <c r="P16" s="477"/>
      <c r="Q16" s="477"/>
      <c r="R16" s="477"/>
      <c r="S16" s="477"/>
      <c r="T16" s="477"/>
      <c r="U16" s="477"/>
      <c r="V16" s="477"/>
      <c r="W16" s="478"/>
    </row>
    <row r="17" spans="2:23" ht="15" customHeight="1" thickBot="1" x14ac:dyDescent="0.3">
      <c r="B17" s="564"/>
      <c r="C17" s="564"/>
      <c r="D17" s="533"/>
      <c r="E17" s="533"/>
      <c r="F17" s="533"/>
      <c r="G17" s="533"/>
      <c r="H17" s="533"/>
      <c r="I17" s="533"/>
      <c r="J17" s="533"/>
      <c r="K17" s="70"/>
      <c r="M17" s="479"/>
      <c r="N17" s="480"/>
      <c r="O17" s="480"/>
      <c r="P17" s="480"/>
      <c r="Q17" s="480"/>
      <c r="R17" s="480"/>
      <c r="S17" s="480"/>
      <c r="T17" s="480"/>
      <c r="U17" s="480"/>
      <c r="V17" s="480"/>
      <c r="W17" s="481"/>
    </row>
    <row r="18" spans="2:23" ht="15" customHeight="1" x14ac:dyDescent="0.25">
      <c r="B18" s="565"/>
      <c r="C18" s="565"/>
      <c r="D18" s="534"/>
      <c r="E18" s="534"/>
      <c r="F18" s="534"/>
      <c r="G18" s="534"/>
      <c r="H18" s="534"/>
      <c r="I18" s="534"/>
      <c r="J18" s="534"/>
      <c r="M18" s="717" t="s">
        <v>159</v>
      </c>
      <c r="N18" s="719" t="s">
        <v>160</v>
      </c>
      <c r="O18" s="719"/>
      <c r="P18" s="719" t="s">
        <v>248</v>
      </c>
      <c r="Q18" s="719"/>
      <c r="R18" s="719" t="s">
        <v>249</v>
      </c>
      <c r="S18" s="719"/>
      <c r="T18" s="719" t="s">
        <v>250</v>
      </c>
      <c r="U18" s="719"/>
      <c r="V18" s="719" t="s">
        <v>251</v>
      </c>
      <c r="W18" s="729"/>
    </row>
    <row r="19" spans="2:23" x14ac:dyDescent="0.25">
      <c r="B19" s="13" t="str">
        <f>IF('Homogénéité-stabilité-quantita '!D23="","",'Homogénéité-stabilité-quantita '!B23)</f>
        <v/>
      </c>
      <c r="C19" s="13" t="str">
        <f>IF('Homogénéité-stabilité-quantita '!D23="","",'Homogénéité-stabilité-quantita '!C23)</f>
        <v/>
      </c>
      <c r="D19" s="117" t="str">
        <f>IF('Homogénéité-stabilité-quantita '!D23="","",'Homogénéité-stabilité-quantita '!D23)</f>
        <v/>
      </c>
      <c r="E19" s="117" t="str">
        <f>IF('Homogénéité-stabilité-quantita '!E23="","",'Homogénéité-stabilité-quantita '!E23)</f>
        <v/>
      </c>
      <c r="F19" s="117" t="str">
        <f>IF('Homogénéité-stabilité-quantita '!F23="","",'Homogénéité-stabilité-quantita '!F23)</f>
        <v/>
      </c>
      <c r="G19" s="117" t="str">
        <f>IF('Homogénéité-stabilité-quantita '!G23="","",'Homogénéité-stabilité-quantita '!G23)</f>
        <v/>
      </c>
      <c r="H19" s="117" t="str">
        <f>IF('Homogénéité-stabilité-quantita '!H23="","",'Homogénéité-stabilité-quantita '!H23)</f>
        <v/>
      </c>
      <c r="I19" s="117" t="str">
        <f>IF('Homogénéité-stabilité-quantita '!I23="","",'Homogénéité-stabilité-quantita '!I23)</f>
        <v/>
      </c>
      <c r="J19" s="15" t="str">
        <f t="shared" ref="J19:J38" si="0">IF(D19="","",(STDEV(D19:I19))^2)</f>
        <v/>
      </c>
      <c r="K19" s="118" t="str">
        <f>C19</f>
        <v/>
      </c>
      <c r="M19" s="718"/>
      <c r="N19" s="119">
        <v>0.01</v>
      </c>
      <c r="O19" s="119">
        <v>0.05</v>
      </c>
      <c r="P19" s="119">
        <v>0.01</v>
      </c>
      <c r="Q19" s="119">
        <v>0.05</v>
      </c>
      <c r="R19" s="119">
        <v>0.01</v>
      </c>
      <c r="S19" s="119">
        <v>0.05</v>
      </c>
      <c r="T19" s="119">
        <v>0.01</v>
      </c>
      <c r="U19" s="119">
        <v>0.05</v>
      </c>
      <c r="V19" s="119">
        <v>0.01</v>
      </c>
      <c r="W19" s="120">
        <v>0.05</v>
      </c>
    </row>
    <row r="20" spans="2:23" x14ac:dyDescent="0.25">
      <c r="B20" s="13" t="str">
        <f>IF('Homogénéité-stabilité-quantita '!D24="","",'Homogénéité-stabilité-quantita '!B24)</f>
        <v/>
      </c>
      <c r="C20" s="13" t="str">
        <f>IF('Homogénéité-stabilité-quantita '!D24="","",'Homogénéité-stabilité-quantita '!C24)</f>
        <v/>
      </c>
      <c r="D20" s="117" t="str">
        <f>IF('Homogénéité-stabilité-quantita '!D24="","",'Homogénéité-stabilité-quantita '!D24)</f>
        <v/>
      </c>
      <c r="E20" s="117" t="str">
        <f>IF('Homogénéité-stabilité-quantita '!E24="","",'Homogénéité-stabilité-quantita '!E24)</f>
        <v/>
      </c>
      <c r="F20" s="117" t="str">
        <f>IF('Homogénéité-stabilité-quantita '!F24="","",'Homogénéité-stabilité-quantita '!F24)</f>
        <v/>
      </c>
      <c r="G20" s="117" t="str">
        <f>IF('Homogénéité-stabilité-quantita '!G24="","",'Homogénéité-stabilité-quantita '!G24)</f>
        <v/>
      </c>
      <c r="H20" s="117" t="str">
        <f>IF('Homogénéité-stabilité-quantita '!H24="","",'Homogénéité-stabilité-quantita '!H24)</f>
        <v/>
      </c>
      <c r="I20" s="117" t="str">
        <f>IF('Homogénéité-stabilité-quantita '!I24="","",'Homogénéité-stabilité-quantita '!I24)</f>
        <v/>
      </c>
      <c r="J20" s="15" t="str">
        <f t="shared" si="0"/>
        <v/>
      </c>
      <c r="K20" s="118" t="str">
        <f t="shared" ref="K20:K38" si="1">C20</f>
        <v/>
      </c>
      <c r="M20" s="121">
        <v>2</v>
      </c>
      <c r="N20" s="122" t="s">
        <v>161</v>
      </c>
      <c r="O20" s="122" t="s">
        <v>161</v>
      </c>
      <c r="P20" s="188">
        <v>0.995</v>
      </c>
      <c r="Q20" s="188">
        <v>0.97499999999999998</v>
      </c>
      <c r="R20" s="188">
        <v>0.97899999999999998</v>
      </c>
      <c r="S20" s="188">
        <v>0.93899999999999995</v>
      </c>
      <c r="T20" s="188">
        <v>0.95899999999999996</v>
      </c>
      <c r="U20" s="188">
        <v>0.90600000000000003</v>
      </c>
      <c r="V20" s="188">
        <v>0.93700000000000006</v>
      </c>
      <c r="W20" s="190">
        <v>0.877</v>
      </c>
    </row>
    <row r="21" spans="2:23" x14ac:dyDescent="0.25">
      <c r="B21" s="13" t="str">
        <f>IF('Homogénéité-stabilité-quantita '!D25="","",'Homogénéité-stabilité-quantita '!B25)</f>
        <v/>
      </c>
      <c r="C21" s="13" t="str">
        <f>IF('Homogénéité-stabilité-quantita '!D25="","",'Homogénéité-stabilité-quantita '!C25)</f>
        <v/>
      </c>
      <c r="D21" s="117" t="str">
        <f>IF('Homogénéité-stabilité-quantita '!D25="","",'Homogénéité-stabilité-quantita '!D25)</f>
        <v/>
      </c>
      <c r="E21" s="117" t="str">
        <f>IF('Homogénéité-stabilité-quantita '!E25="","",'Homogénéité-stabilité-quantita '!E25)</f>
        <v/>
      </c>
      <c r="F21" s="117" t="str">
        <f>IF('Homogénéité-stabilité-quantita '!F25="","",'Homogénéité-stabilité-quantita '!F25)</f>
        <v/>
      </c>
      <c r="G21" s="117" t="str">
        <f>IF('Homogénéité-stabilité-quantita '!G25="","",'Homogénéité-stabilité-quantita '!G25)</f>
        <v/>
      </c>
      <c r="H21" s="117" t="str">
        <f>IF('Homogénéité-stabilité-quantita '!H25="","",'Homogénéité-stabilité-quantita '!H25)</f>
        <v/>
      </c>
      <c r="I21" s="117" t="str">
        <f>IF('Homogénéité-stabilité-quantita '!I25="","",'Homogénéité-stabilité-quantita '!I25)</f>
        <v/>
      </c>
      <c r="J21" s="15" t="str">
        <f t="shared" si="0"/>
        <v/>
      </c>
      <c r="K21" s="118" t="str">
        <f t="shared" si="1"/>
        <v/>
      </c>
      <c r="M21" s="121">
        <v>3</v>
      </c>
      <c r="N21" s="123">
        <v>0.99299999999999999</v>
      </c>
      <c r="O21" s="122">
        <v>0.96699999999999997</v>
      </c>
      <c r="P21" s="188">
        <v>0.94199999999999995</v>
      </c>
      <c r="Q21" s="188">
        <v>0.871</v>
      </c>
      <c r="R21" s="188">
        <v>0.88300000000000001</v>
      </c>
      <c r="S21" s="188">
        <v>0.79800000000000004</v>
      </c>
      <c r="T21" s="188">
        <v>0.83399999999999996</v>
      </c>
      <c r="U21" s="188">
        <v>0.746</v>
      </c>
      <c r="V21" s="188">
        <v>0.79300000000000004</v>
      </c>
      <c r="W21" s="190">
        <v>0.70699999999999996</v>
      </c>
    </row>
    <row r="22" spans="2:23" x14ac:dyDescent="0.25">
      <c r="B22" s="13" t="str">
        <f>IF('Homogénéité-stabilité-quantita '!D26="","",'Homogénéité-stabilité-quantita '!B26)</f>
        <v/>
      </c>
      <c r="C22" s="13" t="str">
        <f>IF('Homogénéité-stabilité-quantita '!D26="","",'Homogénéité-stabilité-quantita '!C26)</f>
        <v/>
      </c>
      <c r="D22" s="117" t="str">
        <f>IF('Homogénéité-stabilité-quantita '!D26="","",'Homogénéité-stabilité-quantita '!D26)</f>
        <v/>
      </c>
      <c r="E22" s="117" t="str">
        <f>IF('Homogénéité-stabilité-quantita '!E26="","",'Homogénéité-stabilité-quantita '!E26)</f>
        <v/>
      </c>
      <c r="F22" s="117" t="str">
        <f>IF('Homogénéité-stabilité-quantita '!F26="","",'Homogénéité-stabilité-quantita '!F26)</f>
        <v/>
      </c>
      <c r="G22" s="117" t="str">
        <f>IF('Homogénéité-stabilité-quantita '!G26="","",'Homogénéité-stabilité-quantita '!G26)</f>
        <v/>
      </c>
      <c r="H22" s="117" t="str">
        <f>IF('Homogénéité-stabilité-quantita '!H26="","",'Homogénéité-stabilité-quantita '!H26)</f>
        <v/>
      </c>
      <c r="I22" s="117" t="str">
        <f>IF('Homogénéité-stabilité-quantita '!I26="","",'Homogénéité-stabilité-quantita '!I26)</f>
        <v/>
      </c>
      <c r="J22" s="15" t="str">
        <f t="shared" si="0"/>
        <v/>
      </c>
      <c r="K22" s="118" t="str">
        <f t="shared" si="1"/>
        <v/>
      </c>
      <c r="M22" s="121">
        <v>4</v>
      </c>
      <c r="N22" s="123">
        <v>0.96799999999999997</v>
      </c>
      <c r="O22" s="122">
        <v>0.90600000000000003</v>
      </c>
      <c r="P22" s="188">
        <v>0.86399999999999999</v>
      </c>
      <c r="Q22" s="188">
        <v>0.76800000000000002</v>
      </c>
      <c r="R22" s="188">
        <v>0.78100000000000003</v>
      </c>
      <c r="S22" s="188">
        <v>0.68400000000000005</v>
      </c>
      <c r="T22" s="188">
        <v>0.72099999999999997</v>
      </c>
      <c r="U22" s="188">
        <v>0.629</v>
      </c>
      <c r="V22" s="188">
        <v>0.67600000000000005</v>
      </c>
      <c r="W22" s="190">
        <v>0.59</v>
      </c>
    </row>
    <row r="23" spans="2:23" ht="15" customHeight="1" x14ac:dyDescent="0.25">
      <c r="B23" s="13" t="str">
        <f>IF('Homogénéité-stabilité-quantita '!D27="","",'Homogénéité-stabilité-quantita '!B27)</f>
        <v/>
      </c>
      <c r="C23" s="13" t="str">
        <f>IF('Homogénéité-stabilité-quantita '!D27="","",'Homogénéité-stabilité-quantita '!C27)</f>
        <v/>
      </c>
      <c r="D23" s="117" t="str">
        <f>IF('Homogénéité-stabilité-quantita '!D27="","",'Homogénéité-stabilité-quantita '!D27)</f>
        <v/>
      </c>
      <c r="E23" s="117" t="str">
        <f>IF('Homogénéité-stabilité-quantita '!E27="","",'Homogénéité-stabilité-quantita '!E27)</f>
        <v/>
      </c>
      <c r="F23" s="117" t="str">
        <f>IF('Homogénéité-stabilité-quantita '!F27="","",'Homogénéité-stabilité-quantita '!F27)</f>
        <v/>
      </c>
      <c r="G23" s="117" t="str">
        <f>IF('Homogénéité-stabilité-quantita '!G27="","",'Homogénéité-stabilité-quantita '!G27)</f>
        <v/>
      </c>
      <c r="H23" s="117" t="str">
        <f>IF('Homogénéité-stabilité-quantita '!H27="","",'Homogénéité-stabilité-quantita '!H27)</f>
        <v/>
      </c>
      <c r="I23" s="117" t="str">
        <f>IF('Homogénéité-stabilité-quantita '!I27="","",'Homogénéité-stabilité-quantita '!I27)</f>
        <v/>
      </c>
      <c r="J23" s="15" t="str">
        <f t="shared" si="0"/>
        <v/>
      </c>
      <c r="K23" s="118" t="str">
        <f t="shared" si="1"/>
        <v/>
      </c>
      <c r="M23" s="121">
        <v>5</v>
      </c>
      <c r="N23" s="123">
        <v>0.92800000000000005</v>
      </c>
      <c r="O23" s="122">
        <v>0.84099999999999997</v>
      </c>
      <c r="P23" s="188">
        <v>0.78800000000000003</v>
      </c>
      <c r="Q23" s="188">
        <v>0.68400000000000005</v>
      </c>
      <c r="R23" s="188">
        <v>0.69599999999999995</v>
      </c>
      <c r="S23" s="188">
        <v>0.59799999999999998</v>
      </c>
      <c r="T23" s="188">
        <v>0.63300000000000001</v>
      </c>
      <c r="U23" s="188">
        <v>0.54400000000000004</v>
      </c>
      <c r="V23" s="188">
        <v>0.58799999999999997</v>
      </c>
      <c r="W23" s="190">
        <v>0.50600000000000001</v>
      </c>
    </row>
    <row r="24" spans="2:23" x14ac:dyDescent="0.25">
      <c r="B24" s="13" t="str">
        <f>IF('Homogénéité-stabilité-quantita '!D28="","",'Homogénéité-stabilité-quantita '!B28)</f>
        <v/>
      </c>
      <c r="C24" s="13" t="str">
        <f>IF('Homogénéité-stabilité-quantita '!D28="","",'Homogénéité-stabilité-quantita '!C28)</f>
        <v/>
      </c>
      <c r="D24" s="117" t="str">
        <f>IF('Homogénéité-stabilité-quantita '!D28="","",'Homogénéité-stabilité-quantita '!D28)</f>
        <v/>
      </c>
      <c r="E24" s="117" t="str">
        <f>IF('Homogénéité-stabilité-quantita '!E28="","",'Homogénéité-stabilité-quantita '!E28)</f>
        <v/>
      </c>
      <c r="F24" s="117" t="str">
        <f>IF('Homogénéité-stabilité-quantita '!F28="","",'Homogénéité-stabilité-quantita '!F28)</f>
        <v/>
      </c>
      <c r="G24" s="117" t="str">
        <f>IF('Homogénéité-stabilité-quantita '!G28="","",'Homogénéité-stabilité-quantita '!G28)</f>
        <v/>
      </c>
      <c r="H24" s="117" t="str">
        <f>IF('Homogénéité-stabilité-quantita '!H28="","",'Homogénéité-stabilité-quantita '!H28)</f>
        <v/>
      </c>
      <c r="I24" s="117" t="str">
        <f>IF('Homogénéité-stabilité-quantita '!I28="","",'Homogénéité-stabilité-quantita '!I28)</f>
        <v/>
      </c>
      <c r="J24" s="15" t="str">
        <f t="shared" si="0"/>
        <v/>
      </c>
      <c r="K24" s="118" t="str">
        <f t="shared" si="1"/>
        <v/>
      </c>
      <c r="M24" s="121">
        <v>6</v>
      </c>
      <c r="N24" s="123">
        <v>0.88300000000000001</v>
      </c>
      <c r="O24" s="122">
        <v>0.78100000000000003</v>
      </c>
      <c r="P24" s="188">
        <v>0.72199999999999998</v>
      </c>
      <c r="Q24" s="188">
        <v>0.61599999999999999</v>
      </c>
      <c r="R24" s="188">
        <v>0.626</v>
      </c>
      <c r="S24" s="188">
        <v>0.53200000000000003</v>
      </c>
      <c r="T24" s="188">
        <v>0.56399999999999995</v>
      </c>
      <c r="U24" s="188">
        <v>0.48</v>
      </c>
      <c r="V24" s="188">
        <v>0.52</v>
      </c>
      <c r="W24" s="190">
        <v>0.44500000000000001</v>
      </c>
    </row>
    <row r="25" spans="2:23" x14ac:dyDescent="0.25">
      <c r="B25" s="13" t="str">
        <f>IF('Homogénéité-stabilité-quantita '!D29="","",'Homogénéité-stabilité-quantita '!B29)</f>
        <v/>
      </c>
      <c r="C25" s="13" t="str">
        <f>IF('Homogénéité-stabilité-quantita '!D29="","",'Homogénéité-stabilité-quantita '!C29)</f>
        <v/>
      </c>
      <c r="D25" s="117" t="str">
        <f>IF('Homogénéité-stabilité-quantita '!D29="","",'Homogénéité-stabilité-quantita '!D29)</f>
        <v/>
      </c>
      <c r="E25" s="117" t="str">
        <f>IF('Homogénéité-stabilité-quantita '!E29="","",'Homogénéité-stabilité-quantita '!E29)</f>
        <v/>
      </c>
      <c r="F25" s="117" t="str">
        <f>IF('Homogénéité-stabilité-quantita '!F29="","",'Homogénéité-stabilité-quantita '!F29)</f>
        <v/>
      </c>
      <c r="G25" s="117" t="str">
        <f>IF('Homogénéité-stabilité-quantita '!G29="","",'Homogénéité-stabilité-quantita '!G29)</f>
        <v/>
      </c>
      <c r="H25" s="117" t="str">
        <f>IF('Homogénéité-stabilité-quantita '!H29="","",'Homogénéité-stabilité-quantita '!H29)</f>
        <v/>
      </c>
      <c r="I25" s="117" t="str">
        <f>IF('Homogénéité-stabilité-quantita '!I29="","",'Homogénéité-stabilité-quantita '!I29)</f>
        <v/>
      </c>
      <c r="J25" s="15" t="str">
        <f t="shared" si="0"/>
        <v/>
      </c>
      <c r="K25" s="118" t="str">
        <f t="shared" si="1"/>
        <v/>
      </c>
      <c r="M25" s="121">
        <v>7</v>
      </c>
      <c r="N25" s="123">
        <v>0.83799999999999997</v>
      </c>
      <c r="O25" s="122">
        <v>0.72699999999999998</v>
      </c>
      <c r="P25" s="188">
        <v>0.66400000000000003</v>
      </c>
      <c r="Q25" s="188">
        <v>0.56100000000000005</v>
      </c>
      <c r="R25" s="188">
        <v>0.56799999999999995</v>
      </c>
      <c r="S25" s="188">
        <v>0.48</v>
      </c>
      <c r="T25" s="188">
        <v>0.50800000000000001</v>
      </c>
      <c r="U25" s="188">
        <v>0.43099999999999999</v>
      </c>
      <c r="V25" s="188">
        <v>0.46600000000000003</v>
      </c>
      <c r="W25" s="190">
        <v>0.39700000000000002</v>
      </c>
    </row>
    <row r="26" spans="2:23" x14ac:dyDescent="0.25">
      <c r="B26" s="13" t="str">
        <f>IF('Homogénéité-stabilité-quantita '!D30="","",'Homogénéité-stabilité-quantita '!B30)</f>
        <v/>
      </c>
      <c r="C26" s="13" t="str">
        <f>IF('Homogénéité-stabilité-quantita '!D30="","",'Homogénéité-stabilité-quantita '!C30)</f>
        <v/>
      </c>
      <c r="D26" s="117" t="str">
        <f>IF('Homogénéité-stabilité-quantita '!D30="","",'Homogénéité-stabilité-quantita '!D30)</f>
        <v/>
      </c>
      <c r="E26" s="117" t="str">
        <f>IF('Homogénéité-stabilité-quantita '!E30="","",'Homogénéité-stabilité-quantita '!E30)</f>
        <v/>
      </c>
      <c r="F26" s="117" t="str">
        <f>IF('Homogénéité-stabilité-quantita '!F30="","",'Homogénéité-stabilité-quantita '!F30)</f>
        <v/>
      </c>
      <c r="G26" s="117" t="str">
        <f>IF('Homogénéité-stabilité-quantita '!G30="","",'Homogénéité-stabilité-quantita '!G30)</f>
        <v/>
      </c>
      <c r="H26" s="117" t="str">
        <f>IF('Homogénéité-stabilité-quantita '!H30="","",'Homogénéité-stabilité-quantita '!H30)</f>
        <v/>
      </c>
      <c r="I26" s="117" t="str">
        <f>IF('Homogénéité-stabilité-quantita '!I30="","",'Homogénéité-stabilité-quantita '!I30)</f>
        <v/>
      </c>
      <c r="J26" s="15" t="str">
        <f t="shared" si="0"/>
        <v/>
      </c>
      <c r="K26" s="118" t="str">
        <f t="shared" si="1"/>
        <v/>
      </c>
      <c r="M26" s="121">
        <v>8</v>
      </c>
      <c r="N26" s="123">
        <v>0.79400000000000004</v>
      </c>
      <c r="O26" s="189">
        <v>0.68</v>
      </c>
      <c r="P26" s="188">
        <v>0.61499999999999999</v>
      </c>
      <c r="Q26" s="188">
        <v>0.51600000000000001</v>
      </c>
      <c r="R26" s="188">
        <v>0.52100000000000002</v>
      </c>
      <c r="S26" s="188">
        <v>0.438</v>
      </c>
      <c r="T26" s="188">
        <v>0.46300000000000002</v>
      </c>
      <c r="U26" s="188">
        <v>0.39100000000000001</v>
      </c>
      <c r="V26" s="188">
        <v>0.42299999999999999</v>
      </c>
      <c r="W26" s="190">
        <v>0.36</v>
      </c>
    </row>
    <row r="27" spans="2:23" x14ac:dyDescent="0.25">
      <c r="B27" s="13" t="str">
        <f>IF('Homogénéité-stabilité-quantita '!D31="","",'Homogénéité-stabilité-quantita '!B31)</f>
        <v/>
      </c>
      <c r="C27" s="13" t="str">
        <f>IF('Homogénéité-stabilité-quantita '!D31="","",'Homogénéité-stabilité-quantita '!C31)</f>
        <v/>
      </c>
      <c r="D27" s="117" t="str">
        <f>IF('Homogénéité-stabilité-quantita '!D31="","",'Homogénéité-stabilité-quantita '!D31)</f>
        <v/>
      </c>
      <c r="E27" s="117" t="str">
        <f>IF('Homogénéité-stabilité-quantita '!E31="","",'Homogénéité-stabilité-quantita '!E31)</f>
        <v/>
      </c>
      <c r="F27" s="117" t="str">
        <f>IF('Homogénéité-stabilité-quantita '!F31="","",'Homogénéité-stabilité-quantita '!F31)</f>
        <v/>
      </c>
      <c r="G27" s="117" t="str">
        <f>IF('Homogénéité-stabilité-quantita '!G31="","",'Homogénéité-stabilité-quantita '!G31)</f>
        <v/>
      </c>
      <c r="H27" s="117" t="str">
        <f>IF('Homogénéité-stabilité-quantita '!H31="","",'Homogénéité-stabilité-quantita '!H31)</f>
        <v/>
      </c>
      <c r="I27" s="117" t="str">
        <f>IF('Homogénéité-stabilité-quantita '!I31="","",'Homogénéité-stabilité-quantita '!I31)</f>
        <v/>
      </c>
      <c r="J27" s="15" t="str">
        <f t="shared" si="0"/>
        <v/>
      </c>
      <c r="K27" s="118" t="str">
        <f t="shared" si="1"/>
        <v/>
      </c>
      <c r="M27" s="121">
        <v>9</v>
      </c>
      <c r="N27" s="123">
        <v>0.754</v>
      </c>
      <c r="O27" s="122">
        <v>0.63800000000000001</v>
      </c>
      <c r="P27" s="188">
        <v>0.57299999999999995</v>
      </c>
      <c r="Q27" s="188">
        <v>0.47799999999999998</v>
      </c>
      <c r="R27" s="188">
        <v>0.48099999999999998</v>
      </c>
      <c r="S27" s="188">
        <v>0.40300000000000002</v>
      </c>
      <c r="T27" s="188">
        <v>0.42499999999999999</v>
      </c>
      <c r="U27" s="188">
        <v>0.35799999999999998</v>
      </c>
      <c r="V27" s="188">
        <v>0.38700000000000001</v>
      </c>
      <c r="W27" s="190">
        <v>0.32900000000000001</v>
      </c>
    </row>
    <row r="28" spans="2:23" x14ac:dyDescent="0.25">
      <c r="B28" s="13" t="str">
        <f>IF('Homogénéité-stabilité-quantita '!D32="","",'Homogénéité-stabilité-quantita '!B32)</f>
        <v/>
      </c>
      <c r="C28" s="13" t="str">
        <f>IF('Homogénéité-stabilité-quantita '!D32="","",'Homogénéité-stabilité-quantita '!C32)</f>
        <v/>
      </c>
      <c r="D28" s="117" t="str">
        <f>IF('Homogénéité-stabilité-quantita '!D32="","",'Homogénéité-stabilité-quantita '!D32)</f>
        <v/>
      </c>
      <c r="E28" s="117" t="str">
        <f>IF('Homogénéité-stabilité-quantita '!E32="","",'Homogénéité-stabilité-quantita '!E32)</f>
        <v/>
      </c>
      <c r="F28" s="117" t="str">
        <f>IF('Homogénéité-stabilité-quantita '!F32="","",'Homogénéité-stabilité-quantita '!F32)</f>
        <v/>
      </c>
      <c r="G28" s="117" t="str">
        <f>IF('Homogénéité-stabilité-quantita '!G32="","",'Homogénéité-stabilité-quantita '!G32)</f>
        <v/>
      </c>
      <c r="H28" s="117" t="str">
        <f>IF('Homogénéité-stabilité-quantita '!H32="","",'Homogénéité-stabilité-quantita '!H32)</f>
        <v/>
      </c>
      <c r="I28" s="117" t="str">
        <f>IF('Homogénéité-stabilité-quantita '!I32="","",'Homogénéité-stabilité-quantita '!I32)</f>
        <v/>
      </c>
      <c r="J28" s="15" t="str">
        <f t="shared" si="0"/>
        <v/>
      </c>
      <c r="K28" s="118" t="str">
        <f t="shared" si="1"/>
        <v/>
      </c>
      <c r="M28" s="121">
        <v>10</v>
      </c>
      <c r="N28" s="123">
        <v>0.71799999999999997</v>
      </c>
      <c r="O28" s="122">
        <v>0.60199999999999998</v>
      </c>
      <c r="P28" s="188">
        <v>0.53600000000000003</v>
      </c>
      <c r="Q28" s="188">
        <v>0.44500000000000001</v>
      </c>
      <c r="R28" s="188">
        <v>0.44700000000000001</v>
      </c>
      <c r="S28" s="188">
        <v>0.373</v>
      </c>
      <c r="T28" s="188">
        <v>0.39300000000000002</v>
      </c>
      <c r="U28" s="188">
        <v>0.33100000000000002</v>
      </c>
      <c r="V28" s="188">
        <v>0.35699999999999998</v>
      </c>
      <c r="W28" s="190">
        <v>0.30299999999999999</v>
      </c>
    </row>
    <row r="29" spans="2:23" x14ac:dyDescent="0.25">
      <c r="B29" s="13" t="str">
        <f>IF('Homogénéité-stabilité-quantita '!D33="","",'Homogénéité-stabilité-quantita '!B33)</f>
        <v/>
      </c>
      <c r="C29" s="13" t="str">
        <f>IF('Homogénéité-stabilité-quantita '!D33="","",'Homogénéité-stabilité-quantita '!C33)</f>
        <v/>
      </c>
      <c r="D29" s="117" t="str">
        <f>IF('Homogénéité-stabilité-quantita '!D33="","",'Homogénéité-stabilité-quantita '!D33)</f>
        <v/>
      </c>
      <c r="E29" s="117" t="str">
        <f>IF('Homogénéité-stabilité-quantita '!E33="","",'Homogénéité-stabilité-quantita '!E33)</f>
        <v/>
      </c>
      <c r="F29" s="117" t="str">
        <f>IF('Homogénéité-stabilité-quantita '!F33="","",'Homogénéité-stabilité-quantita '!F33)</f>
        <v/>
      </c>
      <c r="G29" s="117" t="str">
        <f>IF('Homogénéité-stabilité-quantita '!G33="","",'Homogénéité-stabilité-quantita '!G33)</f>
        <v/>
      </c>
      <c r="H29" s="117" t="str">
        <f>IF('Homogénéité-stabilité-quantita '!H33="","",'Homogénéité-stabilité-quantita '!H33)</f>
        <v/>
      </c>
      <c r="I29" s="117" t="str">
        <f>IF('Homogénéité-stabilité-quantita '!I33="","",'Homogénéité-stabilité-quantita '!I33)</f>
        <v/>
      </c>
      <c r="J29" s="15" t="str">
        <f t="shared" si="0"/>
        <v/>
      </c>
      <c r="K29" s="118" t="str">
        <f t="shared" si="1"/>
        <v/>
      </c>
      <c r="M29" s="121">
        <v>11</v>
      </c>
      <c r="N29" s="123">
        <v>0.68400000000000005</v>
      </c>
      <c r="O29" s="122">
        <v>0.56999999999999995</v>
      </c>
      <c r="P29" s="188">
        <v>0.504</v>
      </c>
      <c r="Q29" s="188">
        <v>0.41699999999999998</v>
      </c>
      <c r="R29" s="188">
        <v>0.41799999999999998</v>
      </c>
      <c r="S29" s="188">
        <v>0.34799999999999998</v>
      </c>
      <c r="T29" s="188">
        <v>0.36599999999999999</v>
      </c>
      <c r="U29" s="188">
        <v>0.308</v>
      </c>
      <c r="V29" s="188">
        <v>0.33200000000000002</v>
      </c>
      <c r="W29" s="190">
        <v>0.28100000000000003</v>
      </c>
    </row>
    <row r="30" spans="2:23" x14ac:dyDescent="0.25">
      <c r="B30" s="13" t="str">
        <f>IF('Homogénéité-stabilité-quantita '!D34="","",'Homogénéité-stabilité-quantita '!B34)</f>
        <v/>
      </c>
      <c r="C30" s="13" t="str">
        <f>IF('Homogénéité-stabilité-quantita '!D34="","",'Homogénéité-stabilité-quantita '!C34)</f>
        <v/>
      </c>
      <c r="D30" s="117" t="str">
        <f>IF('Homogénéité-stabilité-quantita '!D34="","",'Homogénéité-stabilité-quantita '!D34)</f>
        <v/>
      </c>
      <c r="E30" s="117" t="str">
        <f>IF('Homogénéité-stabilité-quantita '!E34="","",'Homogénéité-stabilité-quantita '!E34)</f>
        <v/>
      </c>
      <c r="F30" s="117" t="str">
        <f>IF('Homogénéité-stabilité-quantita '!F34="","",'Homogénéité-stabilité-quantita '!F34)</f>
        <v/>
      </c>
      <c r="G30" s="117" t="str">
        <f>IF('Homogénéité-stabilité-quantita '!G34="","",'Homogénéité-stabilité-quantita '!G34)</f>
        <v/>
      </c>
      <c r="H30" s="117" t="str">
        <f>IF('Homogénéité-stabilité-quantita '!H34="","",'Homogénéité-stabilité-quantita '!H34)</f>
        <v/>
      </c>
      <c r="I30" s="117" t="str">
        <f>IF('Homogénéité-stabilité-quantita '!I34="","",'Homogénéité-stabilité-quantita '!I34)</f>
        <v/>
      </c>
      <c r="J30" s="15" t="str">
        <f t="shared" si="0"/>
        <v/>
      </c>
      <c r="K30" s="118" t="str">
        <f t="shared" si="1"/>
        <v/>
      </c>
      <c r="M30" s="121">
        <v>12</v>
      </c>
      <c r="N30" s="123">
        <v>0.65300000000000002</v>
      </c>
      <c r="O30" s="122">
        <v>0.54100000000000004</v>
      </c>
      <c r="P30" s="188">
        <v>0.47499999999999998</v>
      </c>
      <c r="Q30" s="188">
        <v>0.39200000000000002</v>
      </c>
      <c r="R30" s="188">
        <v>0.39200000000000002</v>
      </c>
      <c r="S30" s="188">
        <v>0.32600000000000001</v>
      </c>
      <c r="T30" s="188">
        <v>0.34300000000000003</v>
      </c>
      <c r="U30" s="188">
        <v>0.28799999999999998</v>
      </c>
      <c r="V30" s="188">
        <v>0.31</v>
      </c>
      <c r="W30" s="190">
        <v>0.26200000000000001</v>
      </c>
    </row>
    <row r="31" spans="2:23" ht="15" customHeight="1" x14ac:dyDescent="0.25">
      <c r="B31" s="13" t="str">
        <f>IF('Homogénéité-stabilité-quantita '!D35="","",'Homogénéité-stabilité-quantita '!B35)</f>
        <v/>
      </c>
      <c r="C31" s="13" t="str">
        <f>IF('Homogénéité-stabilité-quantita '!D35="","",'Homogénéité-stabilité-quantita '!C35)</f>
        <v/>
      </c>
      <c r="D31" s="117" t="str">
        <f>IF('Homogénéité-stabilité-quantita '!D35="","",'Homogénéité-stabilité-quantita '!D35)</f>
        <v/>
      </c>
      <c r="E31" s="117" t="str">
        <f>IF('Homogénéité-stabilité-quantita '!E35="","",'Homogénéité-stabilité-quantita '!E35)</f>
        <v/>
      </c>
      <c r="F31" s="117" t="str">
        <f>IF('Homogénéité-stabilité-quantita '!F35="","",'Homogénéité-stabilité-quantita '!F35)</f>
        <v/>
      </c>
      <c r="G31" s="117" t="str">
        <f>IF('Homogénéité-stabilité-quantita '!G35="","",'Homogénéité-stabilité-quantita '!G35)</f>
        <v/>
      </c>
      <c r="H31" s="117" t="str">
        <f>IF('Homogénéité-stabilité-quantita '!H35="","",'Homogénéité-stabilité-quantita '!H35)</f>
        <v/>
      </c>
      <c r="I31" s="117" t="str">
        <f>IF('Homogénéité-stabilité-quantita '!I35="","",'Homogénéité-stabilité-quantita '!I35)</f>
        <v/>
      </c>
      <c r="J31" s="15" t="str">
        <f t="shared" si="0"/>
        <v/>
      </c>
      <c r="K31" s="118" t="str">
        <f t="shared" si="1"/>
        <v/>
      </c>
      <c r="M31" s="121">
        <v>13</v>
      </c>
      <c r="N31" s="123">
        <v>0.624</v>
      </c>
      <c r="O31" s="122">
        <v>0.51500000000000001</v>
      </c>
      <c r="P31" s="188">
        <v>0.45</v>
      </c>
      <c r="Q31" s="188">
        <v>0.371</v>
      </c>
      <c r="R31" s="188">
        <v>0.36899999999999999</v>
      </c>
      <c r="S31" s="188">
        <v>0.307</v>
      </c>
      <c r="T31" s="188">
        <v>0.32200000000000001</v>
      </c>
      <c r="U31" s="188">
        <v>0.27100000000000002</v>
      </c>
      <c r="V31" s="188">
        <v>0.29099999999999998</v>
      </c>
      <c r="W31" s="190">
        <v>0.24299999999999999</v>
      </c>
    </row>
    <row r="32" spans="2:23" x14ac:dyDescent="0.25">
      <c r="B32" s="13" t="str">
        <f>IF('Homogénéité-stabilité-quantita '!D36="","",'Homogénéité-stabilité-quantita '!B36)</f>
        <v/>
      </c>
      <c r="C32" s="13" t="str">
        <f>IF('Homogénéité-stabilité-quantita '!D36="","",'Homogénéité-stabilité-quantita '!C36)</f>
        <v/>
      </c>
      <c r="D32" s="117" t="str">
        <f>IF('Homogénéité-stabilité-quantita '!D36="","",'Homogénéité-stabilité-quantita '!D36)</f>
        <v/>
      </c>
      <c r="E32" s="117" t="str">
        <f>IF('Homogénéité-stabilité-quantita '!E36="","",'Homogénéité-stabilité-quantita '!E36)</f>
        <v/>
      </c>
      <c r="F32" s="117" t="str">
        <f>IF('Homogénéité-stabilité-quantita '!F36="","",'Homogénéité-stabilité-quantita '!F36)</f>
        <v/>
      </c>
      <c r="G32" s="117" t="str">
        <f>IF('Homogénéité-stabilité-quantita '!G36="","",'Homogénéité-stabilité-quantita '!G36)</f>
        <v/>
      </c>
      <c r="H32" s="117" t="str">
        <f>IF('Homogénéité-stabilité-quantita '!H36="","",'Homogénéité-stabilité-quantita '!H36)</f>
        <v/>
      </c>
      <c r="I32" s="117" t="str">
        <f>IF('Homogénéité-stabilité-quantita '!I36="","",'Homogénéité-stabilité-quantita '!I36)</f>
        <v/>
      </c>
      <c r="J32" s="15" t="str">
        <f t="shared" si="0"/>
        <v/>
      </c>
      <c r="K32" s="118" t="str">
        <f t="shared" si="1"/>
        <v/>
      </c>
      <c r="M32" s="121">
        <v>14</v>
      </c>
      <c r="N32" s="123">
        <v>0.59899999999999998</v>
      </c>
      <c r="O32" s="122">
        <v>0.49199999999999999</v>
      </c>
      <c r="P32" s="188">
        <v>0.42699999999999999</v>
      </c>
      <c r="Q32" s="188">
        <v>0.35199999999999998</v>
      </c>
      <c r="R32" s="188">
        <v>0.34899999999999998</v>
      </c>
      <c r="S32" s="188">
        <v>0.29099999999999998</v>
      </c>
      <c r="T32" s="188">
        <v>0.30399999999999999</v>
      </c>
      <c r="U32" s="188">
        <v>0.255</v>
      </c>
      <c r="V32" s="188">
        <v>0.27400000000000002</v>
      </c>
      <c r="W32" s="190">
        <v>0.23200000000000001</v>
      </c>
    </row>
    <row r="33" spans="2:23" x14ac:dyDescent="0.25">
      <c r="B33" s="13" t="str">
        <f>IF('Homogénéité-stabilité-quantita '!D37="","",'Homogénéité-stabilité-quantita '!B37)</f>
        <v/>
      </c>
      <c r="C33" s="13" t="str">
        <f>IF('Homogénéité-stabilité-quantita '!D37="","",'Homogénéité-stabilité-quantita '!C37)</f>
        <v/>
      </c>
      <c r="D33" s="117" t="str">
        <f>IF('Homogénéité-stabilité-quantita '!D37="","",'Homogénéité-stabilité-quantita '!D37)</f>
        <v/>
      </c>
      <c r="E33" s="117" t="str">
        <f>IF('Homogénéité-stabilité-quantita '!E37="","",'Homogénéité-stabilité-quantita '!E37)</f>
        <v/>
      </c>
      <c r="F33" s="117" t="str">
        <f>IF('Homogénéité-stabilité-quantita '!F37="","",'Homogénéité-stabilité-quantita '!F37)</f>
        <v/>
      </c>
      <c r="G33" s="117" t="str">
        <f>IF('Homogénéité-stabilité-quantita '!G37="","",'Homogénéité-stabilité-quantita '!G37)</f>
        <v/>
      </c>
      <c r="H33" s="117" t="str">
        <f>IF('Homogénéité-stabilité-quantita '!H37="","",'Homogénéité-stabilité-quantita '!H37)</f>
        <v/>
      </c>
      <c r="I33" s="117" t="str">
        <f>IF('Homogénéité-stabilité-quantita '!I37="","",'Homogénéité-stabilité-quantita '!I37)</f>
        <v/>
      </c>
      <c r="J33" s="15" t="str">
        <f t="shared" si="0"/>
        <v/>
      </c>
      <c r="K33" s="118" t="str">
        <f t="shared" si="1"/>
        <v/>
      </c>
      <c r="M33" s="121">
        <v>15</v>
      </c>
      <c r="N33" s="123">
        <v>0.57499999999999996</v>
      </c>
      <c r="O33" s="122">
        <v>0.47099999999999997</v>
      </c>
      <c r="P33" s="188">
        <v>0.40699999999999997</v>
      </c>
      <c r="Q33" s="188">
        <v>0.33500000000000002</v>
      </c>
      <c r="R33" s="188">
        <v>0.33200000000000002</v>
      </c>
      <c r="S33" s="188">
        <v>0.27600000000000002</v>
      </c>
      <c r="T33" s="188">
        <v>0.28799999999999998</v>
      </c>
      <c r="U33" s="188">
        <v>0.24199999999999999</v>
      </c>
      <c r="V33" s="188">
        <v>0.25900000000000001</v>
      </c>
      <c r="W33" s="190">
        <v>0.22</v>
      </c>
    </row>
    <row r="34" spans="2:23" x14ac:dyDescent="0.25">
      <c r="B34" s="13" t="str">
        <f>IF('Homogénéité-stabilité-quantita '!D38="","",'Homogénéité-stabilité-quantita '!B38)</f>
        <v/>
      </c>
      <c r="C34" s="13" t="str">
        <f>IF('Homogénéité-stabilité-quantita '!D38="","",'Homogénéité-stabilité-quantita '!C38)</f>
        <v/>
      </c>
      <c r="D34" s="117" t="str">
        <f>IF('Homogénéité-stabilité-quantita '!D38="","",'Homogénéité-stabilité-quantita '!D38)</f>
        <v/>
      </c>
      <c r="E34" s="117" t="str">
        <f>IF('Homogénéité-stabilité-quantita '!E38="","",'Homogénéité-stabilité-quantita '!E38)</f>
        <v/>
      </c>
      <c r="F34" s="117" t="str">
        <f>IF('Homogénéité-stabilité-quantita '!F38="","",'Homogénéité-stabilité-quantita '!F38)</f>
        <v/>
      </c>
      <c r="G34" s="117" t="str">
        <f>IF('Homogénéité-stabilité-quantita '!G38="","",'Homogénéité-stabilité-quantita '!G38)</f>
        <v/>
      </c>
      <c r="H34" s="117" t="str">
        <f>IF('Homogénéité-stabilité-quantita '!H38="","",'Homogénéité-stabilité-quantita '!H38)</f>
        <v/>
      </c>
      <c r="I34" s="117" t="str">
        <f>IF('Homogénéité-stabilité-quantita '!I38="","",'Homogénéité-stabilité-quantita '!I38)</f>
        <v/>
      </c>
      <c r="J34" s="15" t="str">
        <f t="shared" si="0"/>
        <v/>
      </c>
      <c r="K34" s="118" t="str">
        <f t="shared" si="1"/>
        <v/>
      </c>
      <c r="M34" s="121">
        <v>16</v>
      </c>
      <c r="N34" s="123">
        <v>0.55300000000000005</v>
      </c>
      <c r="O34" s="122">
        <v>0.45200000000000001</v>
      </c>
      <c r="P34" s="188">
        <v>0.38800000000000001</v>
      </c>
      <c r="Q34" s="188">
        <v>0.31900000000000001</v>
      </c>
      <c r="R34" s="188">
        <v>0.316</v>
      </c>
      <c r="S34" s="188">
        <v>0.26200000000000001</v>
      </c>
      <c r="T34" s="188">
        <v>0.27400000000000002</v>
      </c>
      <c r="U34" s="188">
        <v>0.23</v>
      </c>
      <c r="V34" s="188">
        <v>0.246</v>
      </c>
      <c r="W34" s="190">
        <v>0.20799999999999999</v>
      </c>
    </row>
    <row r="35" spans="2:23" x14ac:dyDescent="0.25">
      <c r="B35" s="13" t="str">
        <f>IF('Homogénéité-stabilité-quantita '!D39="","",'Homogénéité-stabilité-quantita '!B39)</f>
        <v/>
      </c>
      <c r="C35" s="13" t="str">
        <f>IF('Homogénéité-stabilité-quantita '!D39="","",'Homogénéité-stabilité-quantita '!C39)</f>
        <v/>
      </c>
      <c r="D35" s="117" t="str">
        <f>IF('Homogénéité-stabilité-quantita '!D39="","",'Homogénéité-stabilité-quantita '!D39)</f>
        <v/>
      </c>
      <c r="E35" s="117" t="str">
        <f>IF('Homogénéité-stabilité-quantita '!E39="","",'Homogénéité-stabilité-quantita '!E39)</f>
        <v/>
      </c>
      <c r="F35" s="117" t="str">
        <f>IF('Homogénéité-stabilité-quantita '!F39="","",'Homogénéité-stabilité-quantita '!F39)</f>
        <v/>
      </c>
      <c r="G35" s="117" t="str">
        <f>IF('Homogénéité-stabilité-quantita '!G39="","",'Homogénéité-stabilité-quantita '!G39)</f>
        <v/>
      </c>
      <c r="H35" s="117" t="str">
        <f>IF('Homogénéité-stabilité-quantita '!H39="","",'Homogénéité-stabilité-quantita '!H39)</f>
        <v/>
      </c>
      <c r="I35" s="117" t="str">
        <f>IF('Homogénéité-stabilité-quantita '!I39="","",'Homogénéité-stabilité-quantita '!I39)</f>
        <v/>
      </c>
      <c r="J35" s="15" t="str">
        <f t="shared" si="0"/>
        <v/>
      </c>
      <c r="K35" s="118" t="str">
        <f t="shared" si="1"/>
        <v/>
      </c>
      <c r="M35" s="121">
        <v>17</v>
      </c>
      <c r="N35" s="123">
        <v>0.53200000000000003</v>
      </c>
      <c r="O35" s="122">
        <v>0.434</v>
      </c>
      <c r="P35" s="188">
        <v>0.372</v>
      </c>
      <c r="Q35" s="188">
        <v>0.30499999999999999</v>
      </c>
      <c r="R35" s="188">
        <v>0.30099999999999999</v>
      </c>
      <c r="S35" s="188">
        <v>0.25</v>
      </c>
      <c r="T35" s="188">
        <v>0.26100000000000001</v>
      </c>
      <c r="U35" s="188">
        <v>0.219</v>
      </c>
      <c r="V35" s="188">
        <v>0.23400000000000001</v>
      </c>
      <c r="W35" s="190">
        <v>0.19800000000000001</v>
      </c>
    </row>
    <row r="36" spans="2:23" x14ac:dyDescent="0.25">
      <c r="B36" s="13" t="str">
        <f>IF('Homogénéité-stabilité-quantita '!D40="","",'Homogénéité-stabilité-quantita '!B40)</f>
        <v/>
      </c>
      <c r="C36" s="13" t="str">
        <f>IF('Homogénéité-stabilité-quantita '!D40="","",'Homogénéité-stabilité-quantita '!C40)</f>
        <v/>
      </c>
      <c r="D36" s="117" t="str">
        <f>IF('Homogénéité-stabilité-quantita '!D40="","",'Homogénéité-stabilité-quantita '!D40)</f>
        <v/>
      </c>
      <c r="E36" s="117" t="str">
        <f>IF('Homogénéité-stabilité-quantita '!E40="","",'Homogénéité-stabilité-quantita '!E40)</f>
        <v/>
      </c>
      <c r="F36" s="117" t="str">
        <f>IF('Homogénéité-stabilité-quantita '!F40="","",'Homogénéité-stabilité-quantita '!F40)</f>
        <v/>
      </c>
      <c r="G36" s="117" t="str">
        <f>IF('Homogénéité-stabilité-quantita '!G40="","",'Homogénéité-stabilité-quantita '!G40)</f>
        <v/>
      </c>
      <c r="H36" s="117" t="str">
        <f>IF('Homogénéité-stabilité-quantita '!H40="","",'Homogénéité-stabilité-quantita '!H40)</f>
        <v/>
      </c>
      <c r="I36" s="117" t="str">
        <f>IF('Homogénéité-stabilité-quantita '!I40="","",'Homogénéité-stabilité-quantita '!I40)</f>
        <v/>
      </c>
      <c r="J36" s="15" t="str">
        <f t="shared" si="0"/>
        <v/>
      </c>
      <c r="K36" s="118" t="str">
        <f t="shared" si="1"/>
        <v/>
      </c>
      <c r="M36" s="121">
        <v>18</v>
      </c>
      <c r="N36" s="123">
        <v>0.51400000000000001</v>
      </c>
      <c r="O36" s="122">
        <v>0.41799999999999998</v>
      </c>
      <c r="P36" s="188">
        <v>0.35599999999999998</v>
      </c>
      <c r="Q36" s="188">
        <v>0.29299999999999998</v>
      </c>
      <c r="R36" s="188">
        <v>0.28799999999999998</v>
      </c>
      <c r="S36" s="188">
        <v>0.24</v>
      </c>
      <c r="T36" s="188">
        <v>0.249</v>
      </c>
      <c r="U36" s="188">
        <v>0.20899999999999999</v>
      </c>
      <c r="V36" s="188">
        <v>0.223</v>
      </c>
      <c r="W36" s="190">
        <v>0.189</v>
      </c>
    </row>
    <row r="37" spans="2:23" x14ac:dyDescent="0.25">
      <c r="B37" s="13" t="str">
        <f>IF('Homogénéité-stabilité-quantita '!D41="","",'Homogénéité-stabilité-quantita '!B41)</f>
        <v/>
      </c>
      <c r="C37" s="13" t="str">
        <f>IF('Homogénéité-stabilité-quantita '!D41="","",'Homogénéité-stabilité-quantita '!C41)</f>
        <v/>
      </c>
      <c r="D37" s="117" t="str">
        <f>IF('Homogénéité-stabilité-quantita '!D41="","",'Homogénéité-stabilité-quantita '!D41)</f>
        <v/>
      </c>
      <c r="E37" s="117" t="str">
        <f>IF('Homogénéité-stabilité-quantita '!E41="","",'Homogénéité-stabilité-quantita '!E41)</f>
        <v/>
      </c>
      <c r="F37" s="117" t="str">
        <f>IF('Homogénéité-stabilité-quantita '!F41="","",'Homogénéité-stabilité-quantita '!F41)</f>
        <v/>
      </c>
      <c r="G37" s="117" t="str">
        <f>IF('Homogénéité-stabilité-quantita '!G41="","",'Homogénéité-stabilité-quantita '!G41)</f>
        <v/>
      </c>
      <c r="H37" s="117" t="str">
        <f>IF('Homogénéité-stabilité-quantita '!H41="","",'Homogénéité-stabilité-quantita '!H41)</f>
        <v/>
      </c>
      <c r="I37" s="117" t="str">
        <f>IF('Homogénéité-stabilité-quantita '!I41="","",'Homogénéité-stabilité-quantita '!I41)</f>
        <v/>
      </c>
      <c r="J37" s="15" t="str">
        <f t="shared" si="0"/>
        <v/>
      </c>
      <c r="K37" s="118" t="str">
        <f t="shared" si="1"/>
        <v/>
      </c>
      <c r="M37" s="121">
        <v>19</v>
      </c>
      <c r="N37" s="123">
        <v>0.496</v>
      </c>
      <c r="O37" s="122">
        <v>0.40300000000000002</v>
      </c>
      <c r="P37" s="188">
        <v>0.34300000000000003</v>
      </c>
      <c r="Q37" s="188">
        <v>0.28100000000000003</v>
      </c>
      <c r="R37" s="188">
        <v>0.27600000000000002</v>
      </c>
      <c r="S37" s="188">
        <v>0.23</v>
      </c>
      <c r="T37" s="188">
        <v>0.23799999999999999</v>
      </c>
      <c r="U37" s="188">
        <v>0.2</v>
      </c>
      <c r="V37" s="188">
        <v>0.214</v>
      </c>
      <c r="W37" s="190">
        <v>0.18099999999999999</v>
      </c>
    </row>
    <row r="38" spans="2:23" ht="15.75" thickBot="1" x14ac:dyDescent="0.3">
      <c r="B38" s="13" t="str">
        <f>IF('Homogénéité-stabilité-quantita '!D42="","",'Homogénéité-stabilité-quantita '!B42)</f>
        <v/>
      </c>
      <c r="C38" s="13" t="str">
        <f>IF('Homogénéité-stabilité-quantita '!D42="","",'Homogénéité-stabilité-quantita '!C42)</f>
        <v/>
      </c>
      <c r="D38" s="117" t="str">
        <f>IF('Homogénéité-stabilité-quantita '!D42="","",'Homogénéité-stabilité-quantita '!D42)</f>
        <v/>
      </c>
      <c r="E38" s="117" t="str">
        <f>IF('Homogénéité-stabilité-quantita '!E42="","",'Homogénéité-stabilité-quantita '!E42)</f>
        <v/>
      </c>
      <c r="F38" s="117" t="str">
        <f>IF('Homogénéité-stabilité-quantita '!F42="","",'Homogénéité-stabilité-quantita '!F42)</f>
        <v/>
      </c>
      <c r="G38" s="117" t="str">
        <f>IF('Homogénéité-stabilité-quantita '!G42="","",'Homogénéité-stabilité-quantita '!G42)</f>
        <v/>
      </c>
      <c r="H38" s="117" t="str">
        <f>IF('Homogénéité-stabilité-quantita '!H42="","",'Homogénéité-stabilité-quantita '!H42)</f>
        <v/>
      </c>
      <c r="I38" s="117" t="str">
        <f>IF('Homogénéité-stabilité-quantita '!I42="","",'Homogénéité-stabilité-quantita '!I42)</f>
        <v/>
      </c>
      <c r="J38" s="15" t="str">
        <f t="shared" si="0"/>
        <v/>
      </c>
      <c r="K38" s="118" t="str">
        <f t="shared" si="1"/>
        <v/>
      </c>
      <c r="M38" s="124">
        <v>20</v>
      </c>
      <c r="N38" s="125">
        <v>0.48</v>
      </c>
      <c r="O38" s="191">
        <v>0.38900000000000001</v>
      </c>
      <c r="P38" s="192">
        <v>0.33</v>
      </c>
      <c r="Q38" s="192">
        <v>0.27</v>
      </c>
      <c r="R38" s="192">
        <v>0.26500000000000001</v>
      </c>
      <c r="S38" s="192">
        <v>0.22</v>
      </c>
      <c r="T38" s="192">
        <v>0.22900000000000001</v>
      </c>
      <c r="U38" s="192">
        <v>0.192</v>
      </c>
      <c r="V38" s="192">
        <v>0.20499999999999999</v>
      </c>
      <c r="W38" s="193">
        <v>0.17399999999999999</v>
      </c>
    </row>
    <row r="40" spans="2:23" ht="15.75" thickBot="1" x14ac:dyDescent="0.3"/>
    <row r="41" spans="2:23" x14ac:dyDescent="0.25">
      <c r="C41" s="724" t="s">
        <v>162</v>
      </c>
      <c r="D41" s="725"/>
      <c r="E41" s="725"/>
      <c r="F41" s="726"/>
    </row>
    <row r="42" spans="2:23" x14ac:dyDescent="0.25">
      <c r="C42" s="581" t="s">
        <v>163</v>
      </c>
      <c r="D42" s="582"/>
      <c r="E42" s="727">
        <v>1</v>
      </c>
      <c r="F42" s="728"/>
    </row>
    <row r="43" spans="2:23" x14ac:dyDescent="0.25">
      <c r="C43" s="581" t="s">
        <v>164</v>
      </c>
      <c r="D43" s="582"/>
      <c r="E43" s="583" t="str">
        <f>IF(D19="","",SUM(J19:J38))</f>
        <v/>
      </c>
      <c r="F43" s="584"/>
    </row>
    <row r="44" spans="2:23" x14ac:dyDescent="0.25">
      <c r="C44" s="581" t="s">
        <v>165</v>
      </c>
      <c r="D44" s="582"/>
      <c r="E44" s="583" t="str">
        <f>IF(D19="","",MAX(J19:J38))</f>
        <v/>
      </c>
      <c r="F44" s="584"/>
    </row>
    <row r="45" spans="2:23" x14ac:dyDescent="0.25">
      <c r="C45" s="581" t="s">
        <v>166</v>
      </c>
      <c r="D45" s="582"/>
      <c r="E45" s="583" t="str">
        <f>IF(D19="","",E44/E43)</f>
        <v/>
      </c>
      <c r="F45" s="584"/>
    </row>
    <row r="46" spans="2:23" x14ac:dyDescent="0.25">
      <c r="C46" s="581" t="s">
        <v>167</v>
      </c>
      <c r="D46" s="582"/>
      <c r="E46" s="583" t="str">
        <f>IF(D19="","",IF(F14=2,VLOOKUP(F13,M20:O38,2,FALSE),IF(F14=3,VLOOKUP(F13,M20:Q38,4,FALSE),IF(F14=4,VLOOKUP(F13,M20:S38,6,FALSE),IF(F14=5,VLOOKUP(F13,M20:U38,8,FALSE),IF(F14=6,VLOOKUP(F13,M20:W38,10,FALSE)))))))</f>
        <v/>
      </c>
      <c r="F46" s="584"/>
    </row>
    <row r="47" spans="2:23" x14ac:dyDescent="0.25">
      <c r="C47" s="581" t="s">
        <v>168</v>
      </c>
      <c r="D47" s="582"/>
      <c r="E47" s="583" t="str">
        <f>IF(D19="","",IF(F14=2,VLOOKUP(F13,M20:O38,3,FALSE),IF(F14=3,VLOOKUP(F13,M20:Q38,5,FALSE),IF(F14=4,VLOOKUP(F13,M20:S38,7,FALSE),IF(F14=5,VLOOKUP(F13,M20:U38,9,FALSE),IF(F14=6,VLOOKUP(F13,M20:W38,11,FALSE)))))))</f>
        <v/>
      </c>
      <c r="F47" s="584"/>
    </row>
    <row r="48" spans="2:23" ht="15.75" x14ac:dyDescent="0.25">
      <c r="C48" s="720" t="s">
        <v>169</v>
      </c>
      <c r="D48" s="721"/>
      <c r="E48" s="734" t="str">
        <f>IF(D19="","",IF(E45&lt;=E47,"Si² correcte",IF(AND(E45&gt;E47,E45&lt;=E46),"Si² isolée","Si² abérrante")))</f>
        <v/>
      </c>
      <c r="F48" s="735"/>
    </row>
    <row r="49" spans="2:22" ht="15.75" x14ac:dyDescent="0.25">
      <c r="C49" s="720" t="s">
        <v>170</v>
      </c>
      <c r="D49" s="721"/>
      <c r="E49" s="722" t="str">
        <f>IF(D19="","",MAX(J19:J38))</f>
        <v/>
      </c>
      <c r="F49" s="723"/>
    </row>
    <row r="50" spans="2:22" ht="93" customHeight="1" thickBot="1" x14ac:dyDescent="0.3">
      <c r="C50" s="730" t="s">
        <v>171</v>
      </c>
      <c r="D50" s="731"/>
      <c r="E50" s="732" t="str">
        <f>IF(D19="","",IF(OR(E48="Si² correcte",E48="Si² isolée"),"Pas de valeurs aberrantes détectées",VLOOKUP(E49,J19:K38,2,0)))</f>
        <v/>
      </c>
      <c r="F50" s="733"/>
    </row>
    <row r="55" spans="2:22" ht="15" customHeight="1" x14ac:dyDescent="0.25">
      <c r="B55" s="212" t="s">
        <v>13</v>
      </c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126"/>
      <c r="Q55" s="126"/>
      <c r="R55" s="126"/>
      <c r="S55" s="126"/>
      <c r="T55" s="126"/>
      <c r="U55" s="126"/>
      <c r="V55" s="126"/>
    </row>
    <row r="56" spans="2:22" x14ac:dyDescent="0.25">
      <c r="B56" s="212"/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126"/>
      <c r="Q56" s="126"/>
      <c r="R56" s="126"/>
      <c r="S56" s="126"/>
      <c r="T56" s="126"/>
      <c r="U56" s="126"/>
      <c r="V56" s="126"/>
    </row>
    <row r="57" spans="2:22" x14ac:dyDescent="0.25">
      <c r="B57" s="212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126"/>
      <c r="Q57" s="126"/>
      <c r="R57" s="126"/>
      <c r="S57" s="126"/>
      <c r="T57" s="126"/>
      <c r="U57" s="126"/>
      <c r="V57" s="126"/>
    </row>
  </sheetData>
  <sheetProtection algorithmName="SHA-512" hashValue="ewJIhJi8keqhBQziWnbae9wK/Zw7CQspUJ++wtHRf9+y/mhf96eHMYqZv93HMkcZikicY1sP6l1MlXoXlEYX0Q==" saltValue="Eux1qREWDfPzGut9zTmB+w==" spinCount="100000" sheet="1" objects="1" scenarios="1"/>
  <mergeCells count="48">
    <mergeCell ref="R18:S18"/>
    <mergeCell ref="T18:U18"/>
    <mergeCell ref="V18:W18"/>
    <mergeCell ref="M16:W17"/>
    <mergeCell ref="C50:D50"/>
    <mergeCell ref="E50:F50"/>
    <mergeCell ref="C46:D46"/>
    <mergeCell ref="E46:F46"/>
    <mergeCell ref="C47:D47"/>
    <mergeCell ref="E47:F47"/>
    <mergeCell ref="C48:D48"/>
    <mergeCell ref="E48:F48"/>
    <mergeCell ref="C44:D44"/>
    <mergeCell ref="E44:F44"/>
    <mergeCell ref="C45:D45"/>
    <mergeCell ref="E45:F45"/>
    <mergeCell ref="M18:M19"/>
    <mergeCell ref="N18:O18"/>
    <mergeCell ref="P18:Q18"/>
    <mergeCell ref="C49:D49"/>
    <mergeCell ref="E49:F49"/>
    <mergeCell ref="C41:F41"/>
    <mergeCell ref="C42:D42"/>
    <mergeCell ref="E42:F42"/>
    <mergeCell ref="C43:D43"/>
    <mergeCell ref="E43:F43"/>
    <mergeCell ref="I16:I18"/>
    <mergeCell ref="D16:D18"/>
    <mergeCell ref="E16:E18"/>
    <mergeCell ref="F16:F18"/>
    <mergeCell ref="G16:G18"/>
    <mergeCell ref="H16:H18"/>
    <mergeCell ref="B55:O57"/>
    <mergeCell ref="D10:F10"/>
    <mergeCell ref="G10:K10"/>
    <mergeCell ref="B2:D4"/>
    <mergeCell ref="E2:L4"/>
    <mergeCell ref="M2:O4"/>
    <mergeCell ref="D9:F9"/>
    <mergeCell ref="G9:K9"/>
    <mergeCell ref="C6:L7"/>
    <mergeCell ref="D11:F11"/>
    <mergeCell ref="G11:K11"/>
    <mergeCell ref="C13:E13"/>
    <mergeCell ref="C14:E14"/>
    <mergeCell ref="B16:B18"/>
    <mergeCell ref="C16:C18"/>
    <mergeCell ref="J16:J18"/>
  </mergeCells>
  <conditionalFormatting sqref="E48:F48">
    <cfRule type="cellIs" dxfId="168" priority="15" operator="equal">
      <formula>"Si² isolée"</formula>
    </cfRule>
    <cfRule type="cellIs" dxfId="167" priority="16" operator="equal">
      <formula>"Si² correcte"</formula>
    </cfRule>
    <cfRule type="cellIs" dxfId="166" priority="17" operator="equal">
      <formula>"Si² abérrante"</formula>
    </cfRule>
  </conditionalFormatting>
  <conditionalFormatting sqref="E50:F50">
    <cfRule type="cellIs" dxfId="165" priority="1" operator="equal">
      <formula>"Pas de valeurs aberrantes détectées"</formula>
    </cfRule>
    <cfRule type="cellIs" dxfId="164" priority="14" operator="equal">
      <formula>"Variance homogène pas de résultats éliminés et ne pas passer à l'itération suivante"</formula>
    </cfRule>
  </conditionalFormatting>
  <pageMargins left="0.7" right="0.7" top="0.75" bottom="0.75" header="0.3" footer="0.3"/>
  <pageSetup paperSize="9" scale="33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BCF8-4192-43C5-AB56-B6D4EFE5DF4B}">
  <dimension ref="A1:AI183"/>
  <sheetViews>
    <sheetView topLeftCell="A22" zoomScale="60" zoomScaleNormal="60" workbookViewId="0">
      <selection activeCell="I13" sqref="I13:J13"/>
    </sheetView>
  </sheetViews>
  <sheetFormatPr baseColWidth="10" defaultColWidth="9.140625" defaultRowHeight="15" x14ac:dyDescent="0.25"/>
  <cols>
    <col min="1" max="1" width="5" customWidth="1"/>
    <col min="2" max="2" width="13.42578125" customWidth="1"/>
    <col min="3" max="3" width="20.5703125" customWidth="1"/>
    <col min="4" max="4" width="17.5703125" customWidth="1"/>
    <col min="5" max="5" width="17.85546875" customWidth="1"/>
    <col min="6" max="6" width="18.140625" customWidth="1"/>
    <col min="7" max="7" width="16.5703125" customWidth="1"/>
    <col min="8" max="8" width="15.5703125" customWidth="1"/>
    <col min="9" max="9" width="17.42578125" customWidth="1"/>
    <col min="10" max="10" width="17" customWidth="1"/>
    <col min="11" max="11" width="16.7109375" customWidth="1"/>
    <col min="12" max="12" width="15.42578125" bestFit="1" customWidth="1"/>
    <col min="13" max="14" width="15.85546875" customWidth="1"/>
    <col min="15" max="15" width="16" customWidth="1"/>
    <col min="16" max="16" width="15.5703125" customWidth="1"/>
    <col min="17" max="17" width="16.28515625" customWidth="1"/>
    <col min="18" max="18" width="15.140625" customWidth="1"/>
    <col min="19" max="19" width="15.7109375" customWidth="1"/>
    <col min="20" max="20" width="14.5703125" customWidth="1"/>
    <col min="21" max="21" width="16.42578125" customWidth="1"/>
    <col min="22" max="22" width="14.7109375" customWidth="1"/>
    <col min="23" max="23" width="13" customWidth="1"/>
    <col min="24" max="24" width="13.28515625" customWidth="1"/>
    <col min="29" max="29" width="16.28515625" customWidth="1"/>
  </cols>
  <sheetData>
    <row r="1" spans="2:28" ht="18.75" customHeight="1" thickBot="1" x14ac:dyDescent="0.3">
      <c r="AB1" t="s">
        <v>114</v>
      </c>
    </row>
    <row r="2" spans="2:28" ht="22.5" customHeight="1" x14ac:dyDescent="0.25">
      <c r="B2" s="213"/>
      <c r="C2" s="214"/>
      <c r="D2" s="215"/>
      <c r="E2" s="813" t="s">
        <v>17</v>
      </c>
      <c r="F2" s="814"/>
      <c r="G2" s="814"/>
      <c r="H2" s="814"/>
      <c r="I2" s="814"/>
      <c r="J2" s="814"/>
      <c r="K2" s="814"/>
      <c r="L2" s="814"/>
      <c r="M2" s="814"/>
      <c r="N2" s="814"/>
      <c r="O2" s="814"/>
      <c r="P2" s="814"/>
      <c r="Q2" s="814"/>
      <c r="R2" s="814"/>
      <c r="S2" s="814"/>
      <c r="T2" s="815"/>
      <c r="U2" s="284" t="s">
        <v>320</v>
      </c>
      <c r="V2" s="284"/>
      <c r="W2" s="284"/>
      <c r="AB2" t="s">
        <v>115</v>
      </c>
    </row>
    <row r="3" spans="2:28" ht="18" customHeight="1" x14ac:dyDescent="0.25">
      <c r="B3" s="216"/>
      <c r="C3" s="217"/>
      <c r="D3" s="218"/>
      <c r="E3" s="816"/>
      <c r="F3" s="817"/>
      <c r="G3" s="817"/>
      <c r="H3" s="817"/>
      <c r="I3" s="817"/>
      <c r="J3" s="817"/>
      <c r="K3" s="817"/>
      <c r="L3" s="817"/>
      <c r="M3" s="817"/>
      <c r="N3" s="817"/>
      <c r="O3" s="817"/>
      <c r="P3" s="817"/>
      <c r="Q3" s="817"/>
      <c r="R3" s="817"/>
      <c r="S3" s="817"/>
      <c r="T3" s="818"/>
      <c r="U3" s="285"/>
      <c r="V3" s="285"/>
      <c r="W3" s="285"/>
      <c r="AB3" t="s">
        <v>116</v>
      </c>
    </row>
    <row r="4" spans="2:28" ht="18.75" customHeight="1" thickBot="1" x14ac:dyDescent="0.3">
      <c r="B4" s="219"/>
      <c r="C4" s="220"/>
      <c r="D4" s="221"/>
      <c r="E4" s="819"/>
      <c r="F4" s="820"/>
      <c r="G4" s="820"/>
      <c r="H4" s="820"/>
      <c r="I4" s="820"/>
      <c r="J4" s="820"/>
      <c r="K4" s="820"/>
      <c r="L4" s="820"/>
      <c r="M4" s="820"/>
      <c r="N4" s="820"/>
      <c r="O4" s="820"/>
      <c r="P4" s="820"/>
      <c r="Q4" s="820"/>
      <c r="R4" s="820"/>
      <c r="S4" s="820"/>
      <c r="T4" s="821"/>
      <c r="U4" s="286"/>
      <c r="V4" s="286"/>
      <c r="W4" s="286"/>
      <c r="AB4" t="s">
        <v>258</v>
      </c>
    </row>
    <row r="5" spans="2:28" ht="19.5" customHeight="1" thickBot="1" x14ac:dyDescent="0.3"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/>
      <c r="W5" s="6"/>
      <c r="AB5" t="s">
        <v>35</v>
      </c>
    </row>
    <row r="6" spans="2:28" ht="19.5" customHeight="1" x14ac:dyDescent="0.25">
      <c r="C6" s="557" t="s">
        <v>244</v>
      </c>
      <c r="D6" s="558"/>
      <c r="E6" s="558"/>
      <c r="F6" s="558"/>
      <c r="G6" s="558"/>
      <c r="H6" s="558"/>
      <c r="I6" s="558"/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9"/>
      <c r="AB6" s="197" t="s">
        <v>255</v>
      </c>
    </row>
    <row r="7" spans="2:28" ht="19.5" customHeight="1" thickBot="1" x14ac:dyDescent="0.3">
      <c r="C7" s="560"/>
      <c r="D7" s="561"/>
      <c r="E7" s="561"/>
      <c r="F7" s="561"/>
      <c r="G7" s="561"/>
      <c r="H7" s="561"/>
      <c r="I7" s="561"/>
      <c r="J7" s="561"/>
      <c r="K7" s="561"/>
      <c r="L7" s="561"/>
      <c r="M7" s="561"/>
      <c r="N7" s="561"/>
      <c r="O7" s="561"/>
      <c r="P7" s="561"/>
      <c r="Q7" s="561"/>
      <c r="R7" s="561"/>
      <c r="S7" s="561"/>
      <c r="T7" s="561"/>
      <c r="U7" s="562"/>
      <c r="AB7" t="s">
        <v>41</v>
      </c>
    </row>
    <row r="8" spans="2:28" ht="19.5" customHeight="1" x14ac:dyDescent="0.25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/>
      <c r="U8" s="6"/>
      <c r="AB8" t="s">
        <v>239</v>
      </c>
    </row>
    <row r="9" spans="2:28" ht="19.5" customHeight="1" thickBot="1" x14ac:dyDescent="0.3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  <c r="U9" s="6"/>
    </row>
    <row r="10" spans="2:28" ht="19.5" customHeight="1" x14ac:dyDescent="0.25">
      <c r="C10" s="791" t="s">
        <v>14</v>
      </c>
      <c r="D10" s="792"/>
      <c r="E10" s="792"/>
      <c r="F10" s="792"/>
      <c r="G10" s="792"/>
      <c r="H10" s="793"/>
      <c r="I10" s="794"/>
      <c r="J10" s="795"/>
      <c r="K10" s="795"/>
      <c r="L10" s="795"/>
      <c r="M10" s="795"/>
      <c r="N10" s="796"/>
      <c r="W10" s="5"/>
      <c r="X10" s="5"/>
      <c r="Y10" s="6"/>
      <c r="Z10" s="6"/>
    </row>
    <row r="11" spans="2:28" ht="19.5" customHeight="1" x14ac:dyDescent="0.25">
      <c r="C11" s="797" t="s">
        <v>10</v>
      </c>
      <c r="D11" s="798"/>
      <c r="E11" s="798"/>
      <c r="F11" s="798"/>
      <c r="G11" s="798"/>
      <c r="H11" s="799"/>
      <c r="I11" s="800"/>
      <c r="J11" s="801"/>
      <c r="K11" s="801"/>
      <c r="L11" s="801"/>
      <c r="M11" s="801"/>
      <c r="N11" s="802"/>
      <c r="W11" s="5"/>
      <c r="X11" s="5"/>
      <c r="Y11" s="6"/>
      <c r="Z11" s="6"/>
    </row>
    <row r="12" spans="2:28" ht="18.75" customHeight="1" x14ac:dyDescent="0.25">
      <c r="C12" s="797" t="s">
        <v>23</v>
      </c>
      <c r="D12" s="798"/>
      <c r="E12" s="798"/>
      <c r="F12" s="798"/>
      <c r="G12" s="798"/>
      <c r="H12" s="799"/>
      <c r="I12" s="800"/>
      <c r="J12" s="801"/>
      <c r="K12" s="801"/>
      <c r="L12" s="801"/>
      <c r="M12" s="801"/>
      <c r="N12" s="802"/>
      <c r="W12" s="5"/>
      <c r="X12" s="5"/>
      <c r="Y12" s="6"/>
      <c r="Z12" s="6"/>
    </row>
    <row r="13" spans="2:28" ht="18.75" customHeight="1" x14ac:dyDescent="0.25">
      <c r="C13" s="797" t="s">
        <v>117</v>
      </c>
      <c r="D13" s="798"/>
      <c r="E13" s="798"/>
      <c r="F13" s="798"/>
      <c r="G13" s="798"/>
      <c r="H13" s="798"/>
      <c r="I13" s="552" t="s">
        <v>115</v>
      </c>
      <c r="J13" s="552"/>
      <c r="K13" s="803" t="str">
        <f>IF(G25="","",IF(I13=AB1,G36,IF(I13=AB2,G37,"Indiquer Médiane ou Mode")))</f>
        <v/>
      </c>
      <c r="L13" s="803"/>
      <c r="M13" s="803"/>
      <c r="N13" s="804"/>
      <c r="W13" s="5"/>
      <c r="X13" s="5"/>
      <c r="Y13" s="6"/>
      <c r="Z13" s="6"/>
    </row>
    <row r="14" spans="2:28" ht="19.5" customHeight="1" thickBot="1" x14ac:dyDescent="0.3">
      <c r="C14" s="832" t="s">
        <v>227</v>
      </c>
      <c r="D14" s="833"/>
      <c r="E14" s="833"/>
      <c r="F14" s="833"/>
      <c r="G14" s="833"/>
      <c r="H14" s="833"/>
      <c r="I14" s="569"/>
      <c r="J14" s="570"/>
      <c r="K14" s="570"/>
      <c r="L14" s="570"/>
      <c r="M14" s="570"/>
      <c r="N14" s="571"/>
      <c r="W14" s="5"/>
      <c r="X14" s="5"/>
      <c r="Y14" s="6"/>
      <c r="Z14" s="6"/>
    </row>
    <row r="15" spans="2:28" ht="18.75" customHeight="1" thickBot="1" x14ac:dyDescent="0.3">
      <c r="C15" s="4"/>
      <c r="D15" s="7"/>
      <c r="E15" s="7"/>
      <c r="F15" s="7"/>
      <c r="G15" s="5"/>
      <c r="H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6"/>
      <c r="V15" s="6"/>
    </row>
    <row r="16" spans="2:28" ht="43.5" customHeight="1" thickBot="1" x14ac:dyDescent="0.3">
      <c r="C16" s="448" t="s">
        <v>119</v>
      </c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50"/>
    </row>
    <row r="17" spans="3:21" ht="19.5" customHeight="1" thickBot="1" x14ac:dyDescent="0.3"/>
    <row r="18" spans="3:21" ht="19.5" customHeight="1" x14ac:dyDescent="0.25">
      <c r="C18" s="774" t="s">
        <v>54</v>
      </c>
      <c r="D18" s="775"/>
      <c r="E18" s="775"/>
      <c r="F18" s="776"/>
      <c r="G18" s="834"/>
      <c r="H18" s="835"/>
      <c r="I18" s="836"/>
    </row>
    <row r="19" spans="3:21" ht="19.5" customHeight="1" x14ac:dyDescent="0.25">
      <c r="C19" s="777" t="s">
        <v>120</v>
      </c>
      <c r="D19" s="778"/>
      <c r="E19" s="778"/>
      <c r="F19" s="779"/>
      <c r="G19" s="837" t="str">
        <f>IF(G25="","",COUNT(G25:G34))</f>
        <v/>
      </c>
      <c r="H19" s="837"/>
      <c r="I19" s="838"/>
    </row>
    <row r="20" spans="3:21" ht="19.5" customHeight="1" thickBot="1" x14ac:dyDescent="0.3">
      <c r="C20" s="780" t="s">
        <v>121</v>
      </c>
      <c r="D20" s="781"/>
      <c r="E20" s="781"/>
      <c r="F20" s="782"/>
      <c r="G20" s="822" t="str">
        <f>IF(G25="","",COUNT(G25:L25))</f>
        <v/>
      </c>
      <c r="H20" s="822"/>
      <c r="I20" s="823"/>
    </row>
    <row r="21" spans="3:21" ht="19.5" customHeight="1" thickBot="1" x14ac:dyDescent="0.3">
      <c r="G21" s="5"/>
    </row>
    <row r="22" spans="3:21" ht="24.75" customHeight="1" x14ac:dyDescent="0.25">
      <c r="C22" s="824" t="s">
        <v>28</v>
      </c>
      <c r="D22" s="825"/>
      <c r="E22" s="825" t="s">
        <v>122</v>
      </c>
      <c r="F22" s="825"/>
      <c r="G22" s="828" t="s">
        <v>0</v>
      </c>
      <c r="H22" s="828" t="s">
        <v>1</v>
      </c>
      <c r="I22" s="828" t="s">
        <v>203</v>
      </c>
      <c r="J22" s="828" t="s">
        <v>204</v>
      </c>
      <c r="K22" s="828" t="s">
        <v>205</v>
      </c>
      <c r="L22" s="874" t="s">
        <v>206</v>
      </c>
      <c r="M22" s="863" t="s">
        <v>123</v>
      </c>
      <c r="N22" s="828" t="s">
        <v>124</v>
      </c>
      <c r="O22" s="828" t="s">
        <v>216</v>
      </c>
      <c r="P22" s="828" t="s">
        <v>217</v>
      </c>
      <c r="Q22" s="828" t="s">
        <v>218</v>
      </c>
      <c r="R22" s="874" t="s">
        <v>222</v>
      </c>
      <c r="S22" s="876" t="s">
        <v>220</v>
      </c>
      <c r="T22" s="839" t="s">
        <v>221</v>
      </c>
      <c r="U22" s="878" t="s">
        <v>219</v>
      </c>
    </row>
    <row r="23" spans="3:21" ht="27" customHeight="1" x14ac:dyDescent="0.25">
      <c r="C23" s="826"/>
      <c r="D23" s="827"/>
      <c r="E23" s="827"/>
      <c r="F23" s="827"/>
      <c r="G23" s="829"/>
      <c r="H23" s="829"/>
      <c r="I23" s="829"/>
      <c r="J23" s="829"/>
      <c r="K23" s="829"/>
      <c r="L23" s="875"/>
      <c r="M23" s="864"/>
      <c r="N23" s="829"/>
      <c r="O23" s="829"/>
      <c r="P23" s="829"/>
      <c r="Q23" s="829"/>
      <c r="R23" s="875"/>
      <c r="S23" s="877"/>
      <c r="T23" s="840"/>
      <c r="U23" s="879"/>
    </row>
    <row r="24" spans="3:21" ht="24.75" customHeight="1" x14ac:dyDescent="0.25">
      <c r="C24" s="826"/>
      <c r="D24" s="827"/>
      <c r="E24" s="827"/>
      <c r="F24" s="827"/>
      <c r="G24" s="829"/>
      <c r="H24" s="829"/>
      <c r="I24" s="829"/>
      <c r="J24" s="829"/>
      <c r="K24" s="829"/>
      <c r="L24" s="875"/>
      <c r="M24" s="864"/>
      <c r="N24" s="829"/>
      <c r="O24" s="829"/>
      <c r="P24" s="829"/>
      <c r="Q24" s="829"/>
      <c r="R24" s="875"/>
      <c r="S24" s="877"/>
      <c r="T24" s="840"/>
      <c r="U24" s="879"/>
    </row>
    <row r="25" spans="3:21" ht="19.5" customHeight="1" x14ac:dyDescent="0.25">
      <c r="C25" s="746"/>
      <c r="D25" s="745"/>
      <c r="E25" s="745" t="s">
        <v>260</v>
      </c>
      <c r="F25" s="745"/>
      <c r="G25" s="184"/>
      <c r="H25" s="184"/>
      <c r="I25" s="184"/>
      <c r="J25" s="184"/>
      <c r="K25" s="177"/>
      <c r="L25" s="178"/>
      <c r="M25" s="56" t="str">
        <f t="shared" ref="M25:R25" si="0">IF(G25="","",IF(ABS(G25-$K$13)&gt;$I$14,"NOT OK", "OK"))</f>
        <v/>
      </c>
      <c r="N25" s="61" t="str">
        <f t="shared" si="0"/>
        <v/>
      </c>
      <c r="O25" s="61" t="str">
        <f t="shared" si="0"/>
        <v/>
      </c>
      <c r="P25" s="61" t="str">
        <f t="shared" si="0"/>
        <v/>
      </c>
      <c r="Q25" s="61" t="str">
        <f t="shared" si="0"/>
        <v/>
      </c>
      <c r="R25" s="57" t="str">
        <f t="shared" si="0"/>
        <v/>
      </c>
      <c r="S25" s="104" t="str">
        <f t="shared" ref="S25:S34" si="1">IF(G25="","",MAX(G25:L25))</f>
        <v/>
      </c>
      <c r="T25" s="106" t="str">
        <f t="shared" ref="T25:T34" si="2">IF(G25="","",MIN(G25:L25))</f>
        <v/>
      </c>
      <c r="U25" s="108" t="str">
        <f t="shared" ref="U25:U34" si="3">IF(G25="","",ABS(S25-T25))</f>
        <v/>
      </c>
    </row>
    <row r="26" spans="3:21" ht="19.5" customHeight="1" x14ac:dyDescent="0.25">
      <c r="C26" s="746"/>
      <c r="D26" s="745"/>
      <c r="E26" s="745" t="s">
        <v>261</v>
      </c>
      <c r="F26" s="745"/>
      <c r="G26" s="184"/>
      <c r="H26" s="184"/>
      <c r="I26" s="184"/>
      <c r="J26" s="184"/>
      <c r="K26" s="177"/>
      <c r="L26" s="178"/>
      <c r="M26" s="56" t="str">
        <f t="shared" ref="M26:M34" si="4">IF(G26="","",IF(ABS(G26-$K$13)&gt;$I$14,"NOT OK", "OK"))</f>
        <v/>
      </c>
      <c r="N26" s="61" t="str">
        <f t="shared" ref="N26:N34" si="5">IF(H26="","",IF(ABS(H26-$K$13)&gt;$I$14,"NOT OK", "OK"))</f>
        <v/>
      </c>
      <c r="O26" s="61" t="str">
        <f t="shared" ref="O26:O34" si="6">IF(I26="","",IF(ABS(I26-$K$13)&gt;$I$14,"NOT OK", "OK"))</f>
        <v/>
      </c>
      <c r="P26" s="61" t="str">
        <f t="shared" ref="P26:P34" si="7">IF(J26="","",IF(ABS(J26-$K$13)&gt;$I$14,"NOT OK", "OK"))</f>
        <v/>
      </c>
      <c r="Q26" s="61" t="str">
        <f t="shared" ref="Q26:Q34" si="8">IF(K26="","",IF(ABS(K26-$K$13)&gt;$I$14,"NOT OK", "OK"))</f>
        <v/>
      </c>
      <c r="R26" s="57" t="str">
        <f t="shared" ref="R26:R34" si="9">IF(L26="","",IF(ABS(L26-$K$13)&gt;$I$14,"NOT OK", "OK"))</f>
        <v/>
      </c>
      <c r="S26" s="104" t="str">
        <f t="shared" si="1"/>
        <v/>
      </c>
      <c r="T26" s="106" t="str">
        <f t="shared" si="2"/>
        <v/>
      </c>
      <c r="U26" s="108" t="str">
        <f t="shared" si="3"/>
        <v/>
      </c>
    </row>
    <row r="27" spans="3:21" ht="19.5" customHeight="1" x14ac:dyDescent="0.25">
      <c r="C27" s="746"/>
      <c r="D27" s="745"/>
      <c r="E27" s="745" t="s">
        <v>262</v>
      </c>
      <c r="F27" s="745"/>
      <c r="G27" s="184"/>
      <c r="H27" s="184"/>
      <c r="I27" s="184"/>
      <c r="J27" s="184"/>
      <c r="K27" s="177"/>
      <c r="L27" s="178"/>
      <c r="M27" s="56" t="str">
        <f t="shared" si="4"/>
        <v/>
      </c>
      <c r="N27" s="61" t="str">
        <f t="shared" si="5"/>
        <v/>
      </c>
      <c r="O27" s="61" t="str">
        <f t="shared" si="6"/>
        <v/>
      </c>
      <c r="P27" s="61" t="str">
        <f t="shared" si="7"/>
        <v/>
      </c>
      <c r="Q27" s="61" t="str">
        <f t="shared" si="8"/>
        <v/>
      </c>
      <c r="R27" s="57" t="str">
        <f t="shared" si="9"/>
        <v/>
      </c>
      <c r="S27" s="104" t="str">
        <f t="shared" si="1"/>
        <v/>
      </c>
      <c r="T27" s="106" t="str">
        <f t="shared" si="2"/>
        <v/>
      </c>
      <c r="U27" s="108" t="str">
        <f t="shared" si="3"/>
        <v/>
      </c>
    </row>
    <row r="28" spans="3:21" ht="19.5" customHeight="1" x14ac:dyDescent="0.25">
      <c r="C28" s="746"/>
      <c r="D28" s="745"/>
      <c r="E28" s="745" t="s">
        <v>263</v>
      </c>
      <c r="F28" s="745"/>
      <c r="G28" s="184"/>
      <c r="H28" s="184"/>
      <c r="I28" s="184"/>
      <c r="J28" s="184"/>
      <c r="K28" s="177"/>
      <c r="L28" s="178"/>
      <c r="M28" s="56" t="str">
        <f t="shared" si="4"/>
        <v/>
      </c>
      <c r="N28" s="61" t="str">
        <f t="shared" si="5"/>
        <v/>
      </c>
      <c r="O28" s="61" t="str">
        <f t="shared" si="6"/>
        <v/>
      </c>
      <c r="P28" s="61" t="str">
        <f t="shared" si="7"/>
        <v/>
      </c>
      <c r="Q28" s="61" t="str">
        <f t="shared" si="8"/>
        <v/>
      </c>
      <c r="R28" s="57" t="str">
        <f t="shared" si="9"/>
        <v/>
      </c>
      <c r="S28" s="104" t="str">
        <f t="shared" si="1"/>
        <v/>
      </c>
      <c r="T28" s="106" t="str">
        <f t="shared" si="2"/>
        <v/>
      </c>
      <c r="U28" s="108" t="str">
        <f t="shared" si="3"/>
        <v/>
      </c>
    </row>
    <row r="29" spans="3:21" ht="19.5" customHeight="1" x14ac:dyDescent="0.25">
      <c r="C29" s="746"/>
      <c r="D29" s="745"/>
      <c r="E29" s="745" t="s">
        <v>264</v>
      </c>
      <c r="F29" s="745"/>
      <c r="G29" s="184"/>
      <c r="H29" s="184"/>
      <c r="I29" s="184"/>
      <c r="J29" s="184"/>
      <c r="K29" s="177"/>
      <c r="L29" s="178"/>
      <c r="M29" s="56" t="str">
        <f t="shared" si="4"/>
        <v/>
      </c>
      <c r="N29" s="61" t="str">
        <f t="shared" si="5"/>
        <v/>
      </c>
      <c r="O29" s="61" t="str">
        <f t="shared" si="6"/>
        <v/>
      </c>
      <c r="P29" s="61" t="str">
        <f t="shared" si="7"/>
        <v/>
      </c>
      <c r="Q29" s="61" t="str">
        <f t="shared" si="8"/>
        <v/>
      </c>
      <c r="R29" s="57" t="str">
        <f t="shared" si="9"/>
        <v/>
      </c>
      <c r="S29" s="104" t="str">
        <f t="shared" si="1"/>
        <v/>
      </c>
      <c r="T29" s="106" t="str">
        <f t="shared" si="2"/>
        <v/>
      </c>
      <c r="U29" s="108" t="str">
        <f t="shared" si="3"/>
        <v/>
      </c>
    </row>
    <row r="30" spans="3:21" ht="19.5" customHeight="1" x14ac:dyDescent="0.25">
      <c r="C30" s="746"/>
      <c r="D30" s="745"/>
      <c r="E30" s="745" t="s">
        <v>265</v>
      </c>
      <c r="F30" s="745"/>
      <c r="G30" s="184"/>
      <c r="H30" s="184"/>
      <c r="I30" s="184"/>
      <c r="J30" s="184"/>
      <c r="K30" s="177"/>
      <c r="L30" s="178"/>
      <c r="M30" s="56" t="str">
        <f t="shared" si="4"/>
        <v/>
      </c>
      <c r="N30" s="61" t="str">
        <f t="shared" si="5"/>
        <v/>
      </c>
      <c r="O30" s="61" t="str">
        <f t="shared" si="6"/>
        <v/>
      </c>
      <c r="P30" s="61" t="str">
        <f t="shared" si="7"/>
        <v/>
      </c>
      <c r="Q30" s="61" t="str">
        <f t="shared" si="8"/>
        <v/>
      </c>
      <c r="R30" s="57" t="str">
        <f t="shared" si="9"/>
        <v/>
      </c>
      <c r="S30" s="104" t="str">
        <f t="shared" si="1"/>
        <v/>
      </c>
      <c r="T30" s="106" t="str">
        <f t="shared" si="2"/>
        <v/>
      </c>
      <c r="U30" s="108" t="str">
        <f t="shared" si="3"/>
        <v/>
      </c>
    </row>
    <row r="31" spans="3:21" ht="19.5" customHeight="1" x14ac:dyDescent="0.25">
      <c r="C31" s="746"/>
      <c r="D31" s="745"/>
      <c r="E31" s="745" t="s">
        <v>266</v>
      </c>
      <c r="F31" s="745"/>
      <c r="G31" s="184"/>
      <c r="H31" s="184"/>
      <c r="I31" s="184"/>
      <c r="J31" s="184"/>
      <c r="K31" s="177"/>
      <c r="L31" s="178"/>
      <c r="M31" s="56" t="str">
        <f t="shared" si="4"/>
        <v/>
      </c>
      <c r="N31" s="61" t="str">
        <f t="shared" si="5"/>
        <v/>
      </c>
      <c r="O31" s="61" t="str">
        <f t="shared" si="6"/>
        <v/>
      </c>
      <c r="P31" s="61" t="str">
        <f t="shared" si="7"/>
        <v/>
      </c>
      <c r="Q31" s="61" t="str">
        <f t="shared" si="8"/>
        <v/>
      </c>
      <c r="R31" s="57" t="str">
        <f t="shared" si="9"/>
        <v/>
      </c>
      <c r="S31" s="104" t="str">
        <f t="shared" si="1"/>
        <v/>
      </c>
      <c r="T31" s="106" t="str">
        <f t="shared" si="2"/>
        <v/>
      </c>
      <c r="U31" s="108" t="str">
        <f t="shared" si="3"/>
        <v/>
      </c>
    </row>
    <row r="32" spans="3:21" ht="19.5" customHeight="1" x14ac:dyDescent="0.25">
      <c r="C32" s="746"/>
      <c r="D32" s="745"/>
      <c r="E32" s="745" t="s">
        <v>267</v>
      </c>
      <c r="F32" s="745"/>
      <c r="G32" s="184"/>
      <c r="H32" s="184"/>
      <c r="I32" s="184"/>
      <c r="J32" s="184"/>
      <c r="K32" s="177"/>
      <c r="L32" s="178"/>
      <c r="M32" s="56" t="str">
        <f t="shared" si="4"/>
        <v/>
      </c>
      <c r="N32" s="61" t="str">
        <f t="shared" si="5"/>
        <v/>
      </c>
      <c r="O32" s="61" t="str">
        <f t="shared" si="6"/>
        <v/>
      </c>
      <c r="P32" s="61" t="str">
        <f t="shared" si="7"/>
        <v/>
      </c>
      <c r="Q32" s="61" t="str">
        <f t="shared" si="8"/>
        <v/>
      </c>
      <c r="R32" s="57" t="str">
        <f t="shared" si="9"/>
        <v/>
      </c>
      <c r="S32" s="104" t="str">
        <f t="shared" si="1"/>
        <v/>
      </c>
      <c r="T32" s="106" t="str">
        <f t="shared" si="2"/>
        <v/>
      </c>
      <c r="U32" s="108" t="str">
        <f t="shared" si="3"/>
        <v/>
      </c>
    </row>
    <row r="33" spans="1:22" ht="19.5" customHeight="1" x14ac:dyDescent="0.25">
      <c r="C33" s="746"/>
      <c r="D33" s="745"/>
      <c r="E33" s="745" t="s">
        <v>268</v>
      </c>
      <c r="F33" s="745"/>
      <c r="G33" s="184"/>
      <c r="H33" s="184"/>
      <c r="I33" s="184"/>
      <c r="J33" s="184"/>
      <c r="K33" s="177"/>
      <c r="L33" s="178"/>
      <c r="M33" s="56" t="str">
        <f t="shared" si="4"/>
        <v/>
      </c>
      <c r="N33" s="61" t="str">
        <f t="shared" si="5"/>
        <v/>
      </c>
      <c r="O33" s="61" t="str">
        <f t="shared" si="6"/>
        <v/>
      </c>
      <c r="P33" s="61" t="str">
        <f t="shared" si="7"/>
        <v/>
      </c>
      <c r="Q33" s="61" t="str">
        <f t="shared" si="8"/>
        <v/>
      </c>
      <c r="R33" s="57" t="str">
        <f>IF(L33="","",IF(ABS(L33-$K$13)&gt;$I$14,"NOT OK", "OK"))</f>
        <v/>
      </c>
      <c r="S33" s="104" t="str">
        <f t="shared" si="1"/>
        <v/>
      </c>
      <c r="T33" s="106" t="str">
        <f t="shared" si="2"/>
        <v/>
      </c>
      <c r="U33" s="108" t="str">
        <f t="shared" si="3"/>
        <v/>
      </c>
    </row>
    <row r="34" spans="1:22" ht="19.5" customHeight="1" thickBot="1" x14ac:dyDescent="0.3">
      <c r="C34" s="805"/>
      <c r="D34" s="806"/>
      <c r="E34" s="806" t="s">
        <v>269</v>
      </c>
      <c r="F34" s="806"/>
      <c r="G34" s="185"/>
      <c r="H34" s="185"/>
      <c r="I34" s="185"/>
      <c r="J34" s="185"/>
      <c r="K34" s="179"/>
      <c r="L34" s="180"/>
      <c r="M34" s="59" t="str">
        <f t="shared" si="4"/>
        <v/>
      </c>
      <c r="N34" s="62" t="str">
        <f t="shared" si="5"/>
        <v/>
      </c>
      <c r="O34" s="62" t="str">
        <f t="shared" si="6"/>
        <v/>
      </c>
      <c r="P34" s="62" t="str">
        <f t="shared" si="7"/>
        <v/>
      </c>
      <c r="Q34" s="62" t="str">
        <f t="shared" si="8"/>
        <v/>
      </c>
      <c r="R34" s="60" t="str">
        <f t="shared" si="9"/>
        <v/>
      </c>
      <c r="S34" s="105" t="str">
        <f t="shared" si="1"/>
        <v/>
      </c>
      <c r="T34" s="107" t="str">
        <f t="shared" si="2"/>
        <v/>
      </c>
      <c r="U34" s="109" t="str">
        <f t="shared" si="3"/>
        <v/>
      </c>
    </row>
    <row r="35" spans="1:22" ht="18.75" customHeight="1" thickBot="1" x14ac:dyDescent="0.3"/>
    <row r="36" spans="1:22" ht="21" customHeight="1" x14ac:dyDescent="0.25">
      <c r="C36" s="841" t="s">
        <v>125</v>
      </c>
      <c r="D36" s="842"/>
      <c r="E36" s="842"/>
      <c r="F36" s="842"/>
      <c r="G36" s="843" t="str">
        <f>IF(C25="","",_xlfn.MODE.SNGL(G25:L34))</f>
        <v/>
      </c>
      <c r="H36" s="843"/>
      <c r="I36" s="844"/>
    </row>
    <row r="37" spans="1:22" ht="18.75" customHeight="1" x14ac:dyDescent="0.25">
      <c r="C37" s="937" t="s">
        <v>126</v>
      </c>
      <c r="D37" s="938"/>
      <c r="E37" s="938"/>
      <c r="F37" s="938"/>
      <c r="G37" s="488" t="str">
        <f>IF(C25="","",MEDIAN(G25:L34))</f>
        <v/>
      </c>
      <c r="H37" s="488"/>
      <c r="I37" s="489"/>
    </row>
    <row r="38" spans="1:22" ht="18.75" customHeight="1" x14ac:dyDescent="0.25">
      <c r="C38" s="939" t="s">
        <v>127</v>
      </c>
      <c r="D38" s="940"/>
      <c r="E38" s="940"/>
      <c r="F38" s="940"/>
      <c r="G38" s="758" t="str">
        <f>IF(G25="","", IF(AND(OR(M25=$AB$8,M25=""),OR(M26=$AB$8,M26=""),OR(M27=$AB$8,M27=""),OR(M28=$AB$8,M28=""),OR(M29=$AB$8,M29=""),OR(M30=$AB$8,M30=""),OR(M31=$AB$8,M31=""),OR(M32=$AB$8,M32=""),OR(M33=$AB$8,M33=""),OR(M34=$AB$8,M34=""),OR(N25=$AB$8,N25=""),OR(N26=$AB$8,N26=""),OR(N27=$AB$8,N27=""),OR(N28=$AB$8,N28=""),OR(N29=$AB$8,N29=""),OR(N30=$AB$8,N30=""),OR(N31=$AB$8,N31=""),OR(N32=$AB$8,N32=""),OR(N33=$AB$8,N33=""),OR(N34=$AB$8,N34=""),OR(O25=$AB$8,O25=""),OR(O26=$AB$8,O26=""),OR(O27=$AB$8,O27=""),OR(O28=$AB$8,O28=""),OR(O29=$AB$8,O29=""),OR(O30=$AB$8,O30=""),OR(O31=$AB$8,O31=""),OR(O32=$AB$8,O32=""),OR(O33=$AB$8,O33=""),OR(O34=$AB$8,O34=""),OR(P25=$AB$8,P25=""),OR(P26=$AB$8,P26=""),OR(P27=$AB$8,P27=""),OR(P28=$AB$8,P28=""),OR(P29=$AB$8,P29=""),OR(P30=$AB$8,P30=""),OR(P31=$AB$8,P31=""),OR(P32=$AB$8,P32=""),OR(P33=$AB$8,P33=""),OR(P34=$AB$8,P34=""),OR(Q25=$AB$8,Q25=""),OR(Q26=$AB$8,Q26=""),OR(Q27=$AB$8,Q27=""),OR(Q28=$AB$8,Q28=""),OR(Q29=$AB$8,Q29=""),OR(Q30=$AB$8,Q30=""),OR(Q31=$AB$8,Q31=""),OR(Q32=$AB$8,Q32=""),OR(Q33=$AB$8,Q33=""),OR(Q34=$AB$8,Q34=""),OR(R25=$AB$8,R25=""),OR(R26=$AB$8,R26=""),OR(R27=$AB$8,R27=""),OR(R28=$AB$8,R28=""),OR(R29=$AB$8,R29=""),OR(R30=$AB$8,R30=""),OR(R31=$AB$8,R31=""),OR(R32=$AB$8,R32=""),OR(R33=$AB$8,R33=""),OR(R34=$AB$8, R34=""),OR(U25&lt;=$I$14,U25=""),OR(U26&lt;=$I$14,U26=""),OR(U27&lt;=$I$14,U27=""),OR(U28&lt;=$I$14,U28=""),OR(U29&lt;=$I$14,U29=""),OR(U30&lt;=$I$14,U30=""),OR(U31&lt;=$I$14,U31=""),OR(U32&lt;=$I$14,U32=""),OR(U33&lt;=$I$14,U33=""),OR(U34&lt;=$I$14,U34="")),"Les échantillons sont homogènes", "Les échantillons ne sont pas homogènes; éliminer les résultats indiqués en rouge. Ne pas éliminer plus que 1 résultat"))</f>
        <v/>
      </c>
      <c r="H38" s="758"/>
      <c r="I38" s="759"/>
      <c r="J38" s="181"/>
    </row>
    <row r="39" spans="1:22" ht="19.5" customHeight="1" x14ac:dyDescent="0.25">
      <c r="C39" s="939"/>
      <c r="D39" s="940"/>
      <c r="E39" s="940"/>
      <c r="F39" s="940"/>
      <c r="G39" s="758"/>
      <c r="H39" s="758"/>
      <c r="I39" s="759"/>
      <c r="J39" s="181"/>
    </row>
    <row r="40" spans="1:22" ht="18" customHeight="1" x14ac:dyDescent="0.25">
      <c r="C40" s="939"/>
      <c r="D40" s="940"/>
      <c r="E40" s="940"/>
      <c r="F40" s="940"/>
      <c r="G40" s="758"/>
      <c r="H40" s="758"/>
      <c r="I40" s="759"/>
      <c r="J40" s="181"/>
    </row>
    <row r="41" spans="1:22" ht="18" customHeight="1" x14ac:dyDescent="0.25">
      <c r="C41" s="939"/>
      <c r="D41" s="940"/>
      <c r="E41" s="940"/>
      <c r="F41" s="940"/>
      <c r="G41" s="758"/>
      <c r="H41" s="758"/>
      <c r="I41" s="759"/>
      <c r="J41" s="181"/>
    </row>
    <row r="42" spans="1:22" ht="19.5" customHeight="1" x14ac:dyDescent="0.25">
      <c r="C42" s="939"/>
      <c r="D42" s="940"/>
      <c r="E42" s="940"/>
      <c r="F42" s="940"/>
      <c r="G42" s="758"/>
      <c r="H42" s="758"/>
      <c r="I42" s="759"/>
      <c r="J42" s="181"/>
    </row>
    <row r="43" spans="1:22" ht="19.5" customHeight="1" x14ac:dyDescent="0.25">
      <c r="C43" s="939"/>
      <c r="D43" s="940"/>
      <c r="E43" s="940"/>
      <c r="F43" s="940"/>
      <c r="G43" s="758"/>
      <c r="H43" s="758"/>
      <c r="I43" s="759"/>
      <c r="J43" s="181"/>
    </row>
    <row r="44" spans="1:22" ht="33" customHeight="1" thickBot="1" x14ac:dyDescent="0.3">
      <c r="C44" s="783" t="s">
        <v>228</v>
      </c>
      <c r="D44" s="784"/>
      <c r="E44" s="784"/>
      <c r="F44" s="784"/>
      <c r="G44" s="785"/>
      <c r="H44" s="785"/>
      <c r="I44" s="786"/>
    </row>
    <row r="45" spans="1:22" ht="27" customHeight="1" thickBot="1" x14ac:dyDescent="0.3"/>
    <row r="46" spans="1:22" ht="39" customHeight="1" thickBot="1" x14ac:dyDescent="0.3">
      <c r="A46" s="33"/>
      <c r="C46" s="941" t="s">
        <v>128</v>
      </c>
      <c r="D46" s="942"/>
      <c r="E46" s="942"/>
      <c r="F46" s="942"/>
      <c r="G46" s="942"/>
      <c r="H46" s="942"/>
      <c r="I46" s="942"/>
      <c r="J46" s="942"/>
      <c r="K46" s="942"/>
      <c r="L46" s="942"/>
      <c r="M46" s="942"/>
      <c r="N46" s="942"/>
      <c r="O46" s="942"/>
      <c r="P46" s="943"/>
      <c r="V46" s="34"/>
    </row>
    <row r="47" spans="1:22" ht="22.5" customHeight="1" thickBot="1" x14ac:dyDescent="0.3">
      <c r="A47" s="33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4"/>
    </row>
    <row r="48" spans="1:22" ht="22.5" customHeight="1" thickBot="1" x14ac:dyDescent="0.3">
      <c r="A48" s="33"/>
      <c r="C48" s="372" t="s">
        <v>91</v>
      </c>
      <c r="D48" s="373"/>
      <c r="E48" s="373"/>
      <c r="F48" s="373"/>
      <c r="G48" s="373"/>
      <c r="H48" s="373"/>
      <c r="I48" s="373"/>
      <c r="J48" s="373"/>
      <c r="K48" s="373"/>
      <c r="L48" s="373"/>
      <c r="M48" s="373"/>
      <c r="N48" s="373"/>
      <c r="O48" s="373"/>
      <c r="P48" s="373"/>
      <c r="Q48" s="373"/>
      <c r="R48" s="373"/>
      <c r="S48" s="373"/>
      <c r="T48" s="373"/>
      <c r="U48" s="374"/>
      <c r="V48" s="34"/>
    </row>
    <row r="49" spans="1:29" ht="15.75" thickBot="1" x14ac:dyDescent="0.3">
      <c r="A49" s="33"/>
      <c r="B49" s="33"/>
    </row>
    <row r="50" spans="1:29" ht="25.5" customHeight="1" x14ac:dyDescent="0.25">
      <c r="A50" s="33"/>
      <c r="B50" s="33"/>
      <c r="C50" s="787" t="s">
        <v>32</v>
      </c>
      <c r="D50" s="788"/>
      <c r="E50" s="788"/>
      <c r="F50" s="788"/>
      <c r="G50" s="934"/>
      <c r="H50" s="935"/>
      <c r="I50" s="936"/>
      <c r="J50" s="40"/>
      <c r="K50" s="40"/>
      <c r="L50" s="40"/>
      <c r="M50" s="40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9" ht="25.5" customHeight="1" x14ac:dyDescent="0.25">
      <c r="A51" s="33"/>
      <c r="B51" s="33"/>
      <c r="C51" s="789" t="s">
        <v>52</v>
      </c>
      <c r="D51" s="790"/>
      <c r="E51" s="790"/>
      <c r="F51" s="790"/>
      <c r="G51" s="865"/>
      <c r="H51" s="866"/>
      <c r="I51" s="867"/>
      <c r="J51" s="40"/>
      <c r="K51" s="40"/>
      <c r="L51" s="40"/>
      <c r="M51" s="40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9" ht="27" customHeight="1" x14ac:dyDescent="0.25">
      <c r="A52" s="33"/>
      <c r="B52" s="33"/>
      <c r="C52" s="826" t="s">
        <v>229</v>
      </c>
      <c r="D52" s="827"/>
      <c r="E52" s="827"/>
      <c r="F52" s="827"/>
      <c r="G52" s="837" t="str">
        <f>IF(G62="","",COUNT(G62:G65))</f>
        <v/>
      </c>
      <c r="H52" s="837"/>
      <c r="I52" s="838"/>
      <c r="J52" s="40"/>
      <c r="K52" s="40"/>
      <c r="L52" s="40"/>
      <c r="M52" s="40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9" ht="25.5" customHeight="1" thickBot="1" x14ac:dyDescent="0.3">
      <c r="A53" s="33"/>
      <c r="B53" s="33"/>
      <c r="C53" s="830" t="s">
        <v>16</v>
      </c>
      <c r="D53" s="831"/>
      <c r="E53" s="831"/>
      <c r="F53" s="831"/>
      <c r="G53" s="822" t="str">
        <f>IF(G62="","",COUNT(G62:L62))</f>
        <v/>
      </c>
      <c r="H53" s="822"/>
      <c r="I53" s="823"/>
      <c r="J53" s="40"/>
      <c r="K53" s="40"/>
      <c r="L53" s="40"/>
      <c r="M53" s="40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9" ht="24" thickBot="1" x14ac:dyDescent="0.4">
      <c r="A54" s="33"/>
      <c r="B54" s="33"/>
      <c r="C54" s="40"/>
      <c r="D54" s="40"/>
      <c r="E54" s="40"/>
      <c r="F54" s="40"/>
      <c r="G54" s="40"/>
      <c r="H54" s="8"/>
      <c r="I54" s="40"/>
      <c r="J54" s="40"/>
      <c r="K54" s="40"/>
      <c r="L54" s="40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spans="1:29" ht="39" customHeight="1" thickBot="1" x14ac:dyDescent="0.3">
      <c r="A55" s="33"/>
      <c r="B55" s="33"/>
      <c r="C55" s="851" t="s">
        <v>223</v>
      </c>
      <c r="D55" s="852"/>
      <c r="E55" s="852"/>
      <c r="F55" s="852"/>
      <c r="G55" s="852"/>
      <c r="H55" s="852"/>
      <c r="I55" s="852"/>
      <c r="J55" s="852"/>
      <c r="K55" s="852"/>
      <c r="L55" s="853"/>
      <c r="M55" s="83"/>
      <c r="N55" s="83"/>
      <c r="O55" s="83"/>
      <c r="P55" s="83"/>
      <c r="Q55" s="83"/>
      <c r="R55" s="83"/>
      <c r="S55" s="83"/>
      <c r="T55" s="83"/>
      <c r="U55" s="83"/>
      <c r="V55" s="40"/>
      <c r="W55" s="35"/>
      <c r="X55" s="35"/>
      <c r="Y55" s="35"/>
      <c r="Z55" s="35"/>
      <c r="AA55" s="35"/>
      <c r="AB55" s="35"/>
      <c r="AC55" s="35"/>
    </row>
    <row r="56" spans="1:29" ht="15.75" x14ac:dyDescent="0.25">
      <c r="A56" s="33"/>
      <c r="B56" s="33"/>
      <c r="C56" s="854" t="s">
        <v>224</v>
      </c>
      <c r="D56" s="855"/>
      <c r="E56" s="855"/>
      <c r="F56" s="855"/>
      <c r="G56" s="855"/>
      <c r="H56" s="661" t="str">
        <f>IF(C25="","",G36)</f>
        <v/>
      </c>
      <c r="I56" s="661"/>
      <c r="J56" s="661"/>
      <c r="K56" s="661"/>
      <c r="L56" s="856"/>
      <c r="M56" s="17"/>
      <c r="N56" s="17"/>
      <c r="O56" s="17"/>
      <c r="P56" s="17"/>
      <c r="Q56" s="17"/>
      <c r="R56" s="17"/>
      <c r="S56" s="17"/>
      <c r="T56" s="17"/>
      <c r="U56" s="17"/>
      <c r="V56" s="40"/>
      <c r="W56" s="35"/>
      <c r="X56" s="35"/>
      <c r="Y56" s="35"/>
      <c r="Z56" s="35"/>
      <c r="AA56" s="35"/>
      <c r="AB56" s="35"/>
      <c r="AC56" s="35"/>
    </row>
    <row r="57" spans="1:29" ht="16.5" thickBot="1" x14ac:dyDescent="0.3">
      <c r="A57" s="33"/>
      <c r="B57" s="33"/>
      <c r="C57" s="857" t="s">
        <v>225</v>
      </c>
      <c r="D57" s="858"/>
      <c r="E57" s="858"/>
      <c r="F57" s="858"/>
      <c r="G57" s="858"/>
      <c r="H57" s="660" t="str">
        <f>IF(C25="","",G37)</f>
        <v/>
      </c>
      <c r="I57" s="660"/>
      <c r="J57" s="660"/>
      <c r="K57" s="660"/>
      <c r="L57" s="859"/>
      <c r="M57" s="17"/>
      <c r="N57" s="17"/>
      <c r="O57" s="17"/>
      <c r="P57" s="17"/>
      <c r="Q57" s="17"/>
      <c r="R57" s="17"/>
      <c r="S57" s="17"/>
      <c r="T57" s="17"/>
      <c r="U57" s="17"/>
      <c r="V57" s="40"/>
      <c r="W57" s="35"/>
      <c r="X57" s="35"/>
      <c r="Y57" s="35"/>
      <c r="Z57" s="35"/>
      <c r="AA57" s="35"/>
      <c r="AB57" s="35"/>
      <c r="AC57" s="35"/>
    </row>
    <row r="58" spans="1:29" ht="24.75" customHeight="1" thickBot="1" x14ac:dyDescent="0.3">
      <c r="A58" s="33"/>
      <c r="B58" s="33"/>
      <c r="C58" s="860" t="s">
        <v>129</v>
      </c>
      <c r="D58" s="861"/>
      <c r="E58" s="861"/>
      <c r="F58" s="861"/>
      <c r="G58" s="861"/>
      <c r="H58" s="861"/>
      <c r="I58" s="861"/>
      <c r="J58" s="861"/>
      <c r="K58" s="861"/>
      <c r="L58" s="862"/>
      <c r="M58" s="83"/>
      <c r="N58" s="83"/>
      <c r="O58" s="83"/>
      <c r="P58" s="83"/>
      <c r="Q58" s="83"/>
      <c r="R58" s="83"/>
      <c r="S58" s="83"/>
      <c r="T58" s="83"/>
      <c r="U58" s="83"/>
      <c r="V58" s="40"/>
      <c r="W58" s="35"/>
      <c r="X58" s="35"/>
      <c r="Y58" s="35"/>
      <c r="Z58" s="35"/>
      <c r="AA58" s="35"/>
      <c r="AB58" s="35"/>
      <c r="AC58" s="35"/>
    </row>
    <row r="59" spans="1:29" ht="27.75" customHeight="1" x14ac:dyDescent="0.25">
      <c r="A59" s="33"/>
      <c r="B59" s="33"/>
      <c r="C59" s="824" t="s">
        <v>28</v>
      </c>
      <c r="D59" s="825"/>
      <c r="E59" s="825" t="s">
        <v>122</v>
      </c>
      <c r="F59" s="825"/>
      <c r="G59" s="828" t="s">
        <v>0</v>
      </c>
      <c r="H59" s="828" t="s">
        <v>1</v>
      </c>
      <c r="I59" s="828" t="s">
        <v>203</v>
      </c>
      <c r="J59" s="828" t="s">
        <v>204</v>
      </c>
      <c r="K59" s="828" t="s">
        <v>205</v>
      </c>
      <c r="L59" s="839" t="s">
        <v>206</v>
      </c>
      <c r="M59" s="863" t="s">
        <v>123</v>
      </c>
      <c r="N59" s="828" t="s">
        <v>124</v>
      </c>
      <c r="O59" s="828" t="s">
        <v>216</v>
      </c>
      <c r="P59" s="828" t="s">
        <v>217</v>
      </c>
      <c r="Q59" s="828" t="s">
        <v>218</v>
      </c>
      <c r="R59" s="874" t="s">
        <v>222</v>
      </c>
      <c r="S59" s="876" t="s">
        <v>220</v>
      </c>
      <c r="T59" s="839" t="s">
        <v>221</v>
      </c>
      <c r="U59" s="878" t="s">
        <v>219</v>
      </c>
      <c r="V59" s="40"/>
      <c r="W59" s="762" t="s">
        <v>125</v>
      </c>
      <c r="X59" s="763"/>
      <c r="Y59" s="763"/>
      <c r="Z59" s="763"/>
      <c r="AA59" s="872" t="str">
        <f>IF(G62="","",_xlfn.MODE.SNGL(G62:L65))</f>
        <v/>
      </c>
      <c r="AB59" s="872"/>
      <c r="AC59" s="873"/>
    </row>
    <row r="60" spans="1:29" ht="20.25" customHeight="1" thickBot="1" x14ac:dyDescent="0.3">
      <c r="A60" s="33"/>
      <c r="B60" s="33"/>
      <c r="C60" s="826"/>
      <c r="D60" s="827"/>
      <c r="E60" s="827"/>
      <c r="F60" s="827"/>
      <c r="G60" s="829"/>
      <c r="H60" s="829"/>
      <c r="I60" s="829"/>
      <c r="J60" s="829"/>
      <c r="K60" s="829"/>
      <c r="L60" s="840"/>
      <c r="M60" s="864"/>
      <c r="N60" s="829"/>
      <c r="O60" s="829"/>
      <c r="P60" s="829"/>
      <c r="Q60" s="829"/>
      <c r="R60" s="875"/>
      <c r="S60" s="877"/>
      <c r="T60" s="840"/>
      <c r="U60" s="879"/>
      <c r="V60" s="40"/>
      <c r="W60" s="880" t="s">
        <v>126</v>
      </c>
      <c r="X60" s="881"/>
      <c r="Y60" s="881"/>
      <c r="Z60" s="881"/>
      <c r="AA60" s="882" t="str">
        <f>IF(G62="","",MEDIAN(G62:L65))</f>
        <v/>
      </c>
      <c r="AB60" s="882"/>
      <c r="AC60" s="883"/>
    </row>
    <row r="61" spans="1:29" ht="28.5" customHeight="1" x14ac:dyDescent="0.25">
      <c r="A61" s="33"/>
      <c r="B61" s="33"/>
      <c r="C61" s="826"/>
      <c r="D61" s="827"/>
      <c r="E61" s="827"/>
      <c r="F61" s="827"/>
      <c r="G61" s="829"/>
      <c r="H61" s="829"/>
      <c r="I61" s="829"/>
      <c r="J61" s="829"/>
      <c r="K61" s="829"/>
      <c r="L61" s="840"/>
      <c r="M61" s="864"/>
      <c r="N61" s="829"/>
      <c r="O61" s="829"/>
      <c r="P61" s="829"/>
      <c r="Q61" s="829"/>
      <c r="R61" s="875"/>
      <c r="S61" s="877"/>
      <c r="T61" s="840"/>
      <c r="U61" s="879"/>
      <c r="V61" s="40"/>
      <c r="W61" s="884" t="s">
        <v>130</v>
      </c>
      <c r="X61" s="885"/>
      <c r="Y61" s="885"/>
      <c r="Z61" s="886"/>
      <c r="AA61" s="914" t="str">
        <f>IF(G62="","", IF(AND(OR(M62=$AB$8,M62=""),OR(M63=$AB$8,M63=""),OR(M64=$AB$8,M64=""),OR(M65=$AB$8,M65=""),OR(N62=$AB$8,N62=""),OR(N63=$AB$8,N63=""),OR(N64=$AB$8,N64=""),OR(N65=$AB$8,N65=""),OR(O62=$AB$8,O62=""),OR(O63=$AB$8,O63=""),OR(O64=$AB$8,O64=""),OR(O65=$AB$8,O65=""),OR(P62=$AB$8,P62=""),OR(P63=$AB$8,P63=""),OR(P64=$AB$8,P64=""),OR(P65=$AB$8,P65=""),OR(Q62=$AB$8,Q62=""),OR(Q63=$AB$8,Q63=""),OR(Q64=$AB$8,Q64=""),OR(Q65=$AB$8,Q65=""),OR(R62=$AB$8,R62=""),OR(R63=$AB$8,R63=""),OR(R64=$AB$8,R64=""),OR(R65=$AB$8,R65=""),OR(U62&lt;=$I$14,U62=""),OR(U63&lt;=$I$14,U63=""),OR(U64&lt;=$I$14,U64=""),OR(U65&lt;=$I$14,U65="")),AB7, AB6))</f>
        <v/>
      </c>
      <c r="AB61" s="914"/>
      <c r="AC61" s="915"/>
    </row>
    <row r="62" spans="1:29" ht="23.25" customHeight="1" x14ac:dyDescent="0.25">
      <c r="A62" s="33"/>
      <c r="B62" s="33"/>
      <c r="C62" s="746"/>
      <c r="D62" s="745"/>
      <c r="E62" s="745"/>
      <c r="F62" s="745"/>
      <c r="G62" s="184"/>
      <c r="H62" s="184"/>
      <c r="I62" s="184"/>
      <c r="J62" s="184"/>
      <c r="K62" s="2"/>
      <c r="L62" s="2"/>
      <c r="M62" s="182" t="str">
        <f t="shared" ref="M62:R62" si="10">IF(G62="","",IF(ABS(G62-$K$13)&gt;$I$14,"NOT OK", "OK"))</f>
        <v/>
      </c>
      <c r="N62" s="61" t="str">
        <f t="shared" si="10"/>
        <v/>
      </c>
      <c r="O62" s="61" t="str">
        <f t="shared" si="10"/>
        <v/>
      </c>
      <c r="P62" s="61" t="str">
        <f t="shared" si="10"/>
        <v/>
      </c>
      <c r="Q62" s="61" t="str">
        <f t="shared" si="10"/>
        <v/>
      </c>
      <c r="R62" s="57" t="str">
        <f t="shared" si="10"/>
        <v/>
      </c>
      <c r="S62" s="104" t="str">
        <f>IF(G62="","",MAX(G62:L62))</f>
        <v/>
      </c>
      <c r="T62" s="106" t="str">
        <f>IF(G62="","",MIN(G62:L62))</f>
        <v/>
      </c>
      <c r="U62" s="108" t="str">
        <f>IF(G62="","",ABS(S62-T62))</f>
        <v/>
      </c>
      <c r="V62" s="40"/>
      <c r="W62" s="887"/>
      <c r="X62" s="888"/>
      <c r="Y62" s="888"/>
      <c r="Z62" s="889"/>
      <c r="AA62" s="916"/>
      <c r="AB62" s="916"/>
      <c r="AC62" s="917"/>
    </row>
    <row r="63" spans="1:29" ht="24" customHeight="1" x14ac:dyDescent="0.25">
      <c r="A63" s="33"/>
      <c r="B63" s="33"/>
      <c r="C63" s="746"/>
      <c r="D63" s="745"/>
      <c r="E63" s="745"/>
      <c r="F63" s="745"/>
      <c r="G63" s="184"/>
      <c r="H63" s="184"/>
      <c r="I63" s="184"/>
      <c r="J63" s="184"/>
      <c r="K63" s="2"/>
      <c r="L63" s="2"/>
      <c r="M63" s="182" t="str">
        <f>IF(G63="","",IF(ABS(G63-$K$13)&gt;$I$14,"NOT OK", "OK"))</f>
        <v/>
      </c>
      <c r="N63" s="61" t="str">
        <f>IF(H63="","",IF(ABS(H63-$K$13)&gt;$I$14,"NOT OK", "OK"))</f>
        <v/>
      </c>
      <c r="O63" s="61" t="str">
        <f>IF(I63="","",IF(ABS(I63-$K$13)&gt;$I$14,"NOT OK", "OK"))</f>
        <v/>
      </c>
      <c r="P63" s="61" t="str">
        <f>IF(J63="","",IF(ABS(J63-$K$13)&gt;$I$14,"NOT OK", "OK"))</f>
        <v/>
      </c>
      <c r="Q63" s="61" t="str">
        <f>IF(K63="","",IF(ABS(K63-$K$13)&gt;$I$14,"NOT OK", "OK"))</f>
        <v/>
      </c>
      <c r="R63" s="57" t="str">
        <f t="shared" ref="R63:R65" si="11">IF(L63="","",IF(ABS(L63-$K$13)&gt;$I$14,"NOT OK", "OK"))</f>
        <v/>
      </c>
      <c r="S63" s="104" t="str">
        <f>IF(G63="","",MAX(G63:L63))</f>
        <v/>
      </c>
      <c r="T63" s="106" t="str">
        <f>IF(G63="","",MIN(G63:L63))</f>
        <v/>
      </c>
      <c r="U63" s="108" t="str">
        <f>IF(G63="","",ABS(S63-T63))</f>
        <v/>
      </c>
      <c r="V63" s="40"/>
      <c r="W63" s="887"/>
      <c r="X63" s="888"/>
      <c r="Y63" s="888"/>
      <c r="Z63" s="889"/>
      <c r="AA63" s="916"/>
      <c r="AB63" s="916"/>
      <c r="AC63" s="917"/>
    </row>
    <row r="64" spans="1:29" ht="24" customHeight="1" thickBot="1" x14ac:dyDescent="0.3">
      <c r="A64" s="33"/>
      <c r="B64" s="33"/>
      <c r="C64" s="746"/>
      <c r="D64" s="745"/>
      <c r="E64" s="745"/>
      <c r="F64" s="745"/>
      <c r="G64" s="99"/>
      <c r="H64" s="99"/>
      <c r="I64" s="99"/>
      <c r="J64" s="99"/>
      <c r="K64" s="99"/>
      <c r="L64" s="183"/>
      <c r="M64" s="56" t="str">
        <f>IF(G64="","",IF(ABS(G64-$K$13)&gt;$I$14,"NOT OK", "OK"))</f>
        <v/>
      </c>
      <c r="N64" s="61" t="str">
        <f t="shared" ref="N64:N65" si="12">IF(H64="","",IF(ABS(H64-$K$13)&gt;$I$14,"NOT OK", "OK"))</f>
        <v/>
      </c>
      <c r="O64" s="61" t="str">
        <f t="shared" ref="O64:O65" si="13">IF(I64="","",IF(ABS(I64-$K$13)&gt;$I$14,"NOT OK", "OK"))</f>
        <v/>
      </c>
      <c r="P64" s="61" t="str">
        <f t="shared" ref="P64:Q65" si="14">IF(J64="","",IF(ABS(J64-$K$13)&gt;$I$14,"NOT OK", "OK"))</f>
        <v/>
      </c>
      <c r="Q64" s="61" t="str">
        <f>IF(K64="","",IF(ABS(K64-$K$13)&gt;$I$14,"NOT OK", "OK"))</f>
        <v/>
      </c>
      <c r="R64" s="57" t="str">
        <f t="shared" si="11"/>
        <v/>
      </c>
      <c r="S64" s="104" t="str">
        <f t="shared" ref="S64:S65" si="15">IF(G64="","",MAX(G64:L64))</f>
        <v/>
      </c>
      <c r="T64" s="106" t="str">
        <f t="shared" ref="T64:T65" si="16">IF(G64="","",MIN(G64:L64))</f>
        <v/>
      </c>
      <c r="U64" s="108" t="str">
        <f t="shared" ref="U64:U65" si="17">IF(G64="","",ABS(S64-T64))</f>
        <v/>
      </c>
      <c r="V64" s="40"/>
      <c r="W64" s="890"/>
      <c r="X64" s="891"/>
      <c r="Y64" s="891"/>
      <c r="Z64" s="892"/>
      <c r="AA64" s="920"/>
      <c r="AB64" s="920"/>
      <c r="AC64" s="921"/>
    </row>
    <row r="65" spans="1:29" ht="24" customHeight="1" thickBot="1" x14ac:dyDescent="0.3">
      <c r="A65" s="33"/>
      <c r="B65" s="33"/>
      <c r="C65" s="805"/>
      <c r="D65" s="806"/>
      <c r="E65" s="806"/>
      <c r="F65" s="806"/>
      <c r="G65" s="58"/>
      <c r="H65" s="58"/>
      <c r="I65" s="58"/>
      <c r="J65" s="58"/>
      <c r="K65" s="58"/>
      <c r="L65" s="114"/>
      <c r="M65" s="59" t="str">
        <f t="shared" ref="M65" si="18">IF(G65="","",IF(ABS(G65-$K$13)&gt;$I$14,"NOT OK", "OK"))</f>
        <v/>
      </c>
      <c r="N65" s="62" t="str">
        <f t="shared" si="12"/>
        <v/>
      </c>
      <c r="O65" s="62" t="str">
        <f t="shared" si="13"/>
        <v/>
      </c>
      <c r="P65" s="62" t="str">
        <f t="shared" si="14"/>
        <v/>
      </c>
      <c r="Q65" s="62" t="str">
        <f t="shared" si="14"/>
        <v/>
      </c>
      <c r="R65" s="60" t="str">
        <f t="shared" si="11"/>
        <v/>
      </c>
      <c r="S65" s="105" t="str">
        <f t="shared" si="15"/>
        <v/>
      </c>
      <c r="T65" s="107" t="str">
        <f t="shared" si="16"/>
        <v/>
      </c>
      <c r="U65" s="109" t="str">
        <f t="shared" si="17"/>
        <v/>
      </c>
      <c r="V65" s="40"/>
      <c r="W65" s="84"/>
      <c r="X65" s="84"/>
      <c r="Y65" s="84"/>
      <c r="Z65" s="84"/>
      <c r="AA65" s="63"/>
      <c r="AB65" s="63"/>
      <c r="AC65" s="63"/>
    </row>
    <row r="66" spans="1:29" ht="25.5" customHeight="1" thickBot="1" x14ac:dyDescent="0.4">
      <c r="A66" s="33"/>
      <c r="B66" s="33"/>
      <c r="C66" s="40"/>
      <c r="D66" s="40"/>
      <c r="E66" s="40"/>
      <c r="F66" s="40"/>
      <c r="G66" s="40"/>
      <c r="H66" s="8"/>
      <c r="I66" s="40"/>
      <c r="J66" s="40"/>
      <c r="K66" s="40"/>
      <c r="L66" s="40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84"/>
      <c r="X66" s="84"/>
      <c r="Y66" s="84"/>
      <c r="Z66" s="84"/>
      <c r="AA66" s="63"/>
      <c r="AB66" s="63"/>
      <c r="AC66" s="63"/>
    </row>
    <row r="67" spans="1:29" ht="15.75" x14ac:dyDescent="0.25">
      <c r="A67" s="33"/>
      <c r="C67" s="762" t="s">
        <v>131</v>
      </c>
      <c r="D67" s="763"/>
      <c r="E67" s="763"/>
      <c r="F67" s="763"/>
      <c r="G67" s="765" t="str">
        <f>IF(G62="","",IF(ABS(AA59-H56)&gt;$I$14, "Les échantillons ne sont pas stables", "Les échantillons sont stables"))</f>
        <v/>
      </c>
      <c r="H67" s="765"/>
      <c r="I67" s="766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spans="1:29" ht="16.5" thickBot="1" x14ac:dyDescent="0.3">
      <c r="A68" s="33"/>
      <c r="C68" s="880" t="s">
        <v>132</v>
      </c>
      <c r="D68" s="881"/>
      <c r="E68" s="881"/>
      <c r="F68" s="881"/>
      <c r="G68" s="768" t="str">
        <f>IF(G62="","",IF(ABS(AA60-H57)&gt;$I$14, "Les échantillons ne sont pas stables", "Les échantillons sont stables"))</f>
        <v/>
      </c>
      <c r="H68" s="768"/>
      <c r="I68" s="769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</row>
    <row r="69" spans="1:29" ht="15.75" customHeight="1" x14ac:dyDescent="0.25">
      <c r="A69" s="33"/>
      <c r="C69" s="884" t="s">
        <v>133</v>
      </c>
      <c r="D69" s="885"/>
      <c r="E69" s="885"/>
      <c r="F69" s="886"/>
      <c r="G69" s="925" t="str">
        <f>IF(G62="","", IF(I13=AB1, G67, IF(I13=AB2, G68)))</f>
        <v/>
      </c>
      <c r="H69" s="926"/>
      <c r="I69" s="927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spans="1:29" ht="43.5" customHeight="1" x14ac:dyDescent="0.25">
      <c r="A70" s="33"/>
      <c r="C70" s="887"/>
      <c r="D70" s="888"/>
      <c r="E70" s="888"/>
      <c r="F70" s="889"/>
      <c r="G70" s="928"/>
      <c r="H70" s="929"/>
      <c r="I70" s="930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spans="1:29" ht="15.75" customHeight="1" x14ac:dyDescent="0.25">
      <c r="A71" s="33"/>
      <c r="C71" s="887"/>
      <c r="D71" s="888"/>
      <c r="E71" s="888"/>
      <c r="F71" s="889"/>
      <c r="G71" s="928"/>
      <c r="H71" s="929"/>
      <c r="I71" s="930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spans="1:29" ht="16.5" customHeight="1" thickBot="1" x14ac:dyDescent="0.3">
      <c r="A72" s="33"/>
      <c r="B72" s="33"/>
      <c r="C72" s="890"/>
      <c r="D72" s="891"/>
      <c r="E72" s="891"/>
      <c r="F72" s="892"/>
      <c r="G72" s="931"/>
      <c r="H72" s="932"/>
      <c r="I72" s="933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spans="1:29" ht="16.5" thickBot="1" x14ac:dyDescent="0.3">
      <c r="A73" s="33"/>
      <c r="B73" s="33"/>
      <c r="C73" s="33"/>
      <c r="D73" s="33"/>
      <c r="E73" s="33"/>
      <c r="F73" s="33"/>
      <c r="G73" s="33"/>
      <c r="H73" s="33"/>
      <c r="I73" s="33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spans="1:29" ht="22.5" customHeight="1" thickBot="1" x14ac:dyDescent="0.3">
      <c r="A74" s="33"/>
      <c r="C74" s="372" t="s">
        <v>134</v>
      </c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3"/>
      <c r="Q74" s="373"/>
      <c r="R74" s="373"/>
      <c r="S74" s="373"/>
      <c r="T74" s="373"/>
      <c r="U74" s="374"/>
      <c r="V74" s="34"/>
      <c r="W74" s="35"/>
      <c r="X74" s="35"/>
      <c r="Y74" s="35"/>
    </row>
    <row r="75" spans="1:29" ht="15.75" thickBot="1" x14ac:dyDescent="0.3">
      <c r="A75" s="33"/>
      <c r="B75" s="33"/>
    </row>
    <row r="76" spans="1:29" ht="25.5" customHeight="1" x14ac:dyDescent="0.25">
      <c r="A76" s="33"/>
      <c r="B76" s="33"/>
      <c r="C76" s="774" t="s">
        <v>32</v>
      </c>
      <c r="D76" s="775"/>
      <c r="E76" s="775"/>
      <c r="F76" s="775"/>
      <c r="G76" s="776"/>
      <c r="H76" s="934"/>
      <c r="I76" s="935"/>
      <c r="J76" s="936"/>
      <c r="K76" s="40"/>
      <c r="L76" s="40"/>
      <c r="M76" s="40"/>
      <c r="N76" s="40"/>
      <c r="O76" s="35"/>
      <c r="P76" s="35"/>
      <c r="Q76" s="35"/>
      <c r="R76" s="35"/>
      <c r="S76" s="35"/>
      <c r="T76" s="35"/>
      <c r="U76" s="35"/>
      <c r="V76" s="35"/>
      <c r="W76" s="35"/>
      <c r="X76" s="35"/>
    </row>
    <row r="77" spans="1:29" ht="25.5" customHeight="1" x14ac:dyDescent="0.25">
      <c r="A77" s="33"/>
      <c r="B77" s="33"/>
      <c r="C77" s="777" t="s">
        <v>135</v>
      </c>
      <c r="D77" s="778"/>
      <c r="E77" s="778"/>
      <c r="F77" s="778"/>
      <c r="G77" s="779"/>
      <c r="H77" s="865"/>
      <c r="I77" s="866"/>
      <c r="J77" s="867"/>
      <c r="K77" s="40"/>
      <c r="L77" s="40"/>
      <c r="M77" s="40"/>
      <c r="N77" s="40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 spans="1:29" ht="25.5" customHeight="1" x14ac:dyDescent="0.25">
      <c r="A78" s="33"/>
      <c r="B78" s="33"/>
      <c r="C78" s="777" t="s">
        <v>136</v>
      </c>
      <c r="D78" s="778"/>
      <c r="E78" s="778"/>
      <c r="F78" s="778"/>
      <c r="G78" s="779"/>
      <c r="H78" s="865"/>
      <c r="I78" s="866"/>
      <c r="J78" s="867"/>
      <c r="K78" s="40"/>
      <c r="L78" s="40"/>
      <c r="M78" s="40"/>
      <c r="N78" s="40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</row>
    <row r="79" spans="1:29" ht="25.5" customHeight="1" x14ac:dyDescent="0.25">
      <c r="A79" s="33"/>
      <c r="B79" s="33"/>
      <c r="C79" s="777" t="s">
        <v>137</v>
      </c>
      <c r="D79" s="778"/>
      <c r="E79" s="778"/>
      <c r="F79" s="778"/>
      <c r="G79" s="779"/>
      <c r="H79" s="865"/>
      <c r="I79" s="866"/>
      <c r="J79" s="867"/>
      <c r="K79" s="40"/>
      <c r="L79" s="40"/>
      <c r="M79" s="40"/>
      <c r="N79" s="40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 spans="1:29" ht="25.5" customHeight="1" x14ac:dyDescent="0.25">
      <c r="A80" s="33"/>
      <c r="B80" s="33"/>
      <c r="C80" s="777" t="s">
        <v>138</v>
      </c>
      <c r="D80" s="778"/>
      <c r="E80" s="778"/>
      <c r="F80" s="778"/>
      <c r="G80" s="779"/>
      <c r="H80" s="865"/>
      <c r="I80" s="866"/>
      <c r="J80" s="867"/>
      <c r="K80" s="40"/>
      <c r="L80" s="40"/>
      <c r="M80" s="40"/>
      <c r="N80" s="40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 spans="1:35" ht="25.5" customHeight="1" x14ac:dyDescent="0.25">
      <c r="A81" s="33"/>
      <c r="B81" s="33"/>
      <c r="C81" s="922" t="s">
        <v>229</v>
      </c>
      <c r="D81" s="923"/>
      <c r="E81" s="923"/>
      <c r="F81" s="923"/>
      <c r="G81" s="924"/>
      <c r="H81" s="837" t="str">
        <f>IF(G91="","",COUNT(G91:G94))</f>
        <v/>
      </c>
      <c r="I81" s="837"/>
      <c r="J81" s="838"/>
      <c r="K81" s="40"/>
      <c r="L81" s="40"/>
      <c r="M81" s="40"/>
      <c r="N81" s="40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 spans="1:35" ht="25.5" customHeight="1" thickBot="1" x14ac:dyDescent="0.3">
      <c r="A82" s="33"/>
      <c r="B82" s="33"/>
      <c r="C82" s="780" t="s">
        <v>16</v>
      </c>
      <c r="D82" s="781"/>
      <c r="E82" s="781"/>
      <c r="F82" s="781"/>
      <c r="G82" s="782"/>
      <c r="H82" s="822" t="str">
        <f>IF(G91="","",COUNT(G91:L91))</f>
        <v/>
      </c>
      <c r="I82" s="822"/>
      <c r="J82" s="823"/>
      <c r="K82" s="40"/>
      <c r="L82" s="40"/>
      <c r="M82" s="40"/>
      <c r="N82" s="40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 spans="1:35" ht="24" thickBot="1" x14ac:dyDescent="0.4">
      <c r="A83" s="33"/>
      <c r="B83" s="33"/>
      <c r="C83" s="40"/>
      <c r="D83" s="40"/>
      <c r="E83" s="40"/>
      <c r="F83" s="40"/>
      <c r="G83" s="40"/>
      <c r="H83" s="8"/>
      <c r="I83" s="40"/>
      <c r="J83" s="40"/>
      <c r="K83" s="40"/>
      <c r="L83" s="40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spans="1:35" ht="33" customHeight="1" x14ac:dyDescent="0.25">
      <c r="A84" s="33"/>
      <c r="B84" s="33"/>
      <c r="C84" s="905" t="s">
        <v>223</v>
      </c>
      <c r="D84" s="906"/>
      <c r="E84" s="906"/>
      <c r="F84" s="906"/>
      <c r="G84" s="906"/>
      <c r="H84" s="906"/>
      <c r="I84" s="906"/>
      <c r="J84" s="906"/>
      <c r="K84" s="906"/>
      <c r="L84" s="907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spans="1:35" ht="15.75" x14ac:dyDescent="0.25">
      <c r="A85" s="33"/>
      <c r="B85" s="33"/>
      <c r="C85" s="868" t="s">
        <v>224</v>
      </c>
      <c r="D85" s="869"/>
      <c r="E85" s="869"/>
      <c r="F85" s="869"/>
      <c r="G85" s="869"/>
      <c r="H85" s="633" t="str">
        <f>IF(C25="","",G36)</f>
        <v/>
      </c>
      <c r="I85" s="633"/>
      <c r="J85" s="633"/>
      <c r="K85" s="633"/>
      <c r="L85" s="904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spans="1:35" ht="16.5" thickBot="1" x14ac:dyDescent="0.3">
      <c r="A86" s="33"/>
      <c r="B86" s="33"/>
      <c r="C86" s="870" t="s">
        <v>225</v>
      </c>
      <c r="D86" s="871"/>
      <c r="E86" s="871"/>
      <c r="F86" s="871"/>
      <c r="G86" s="871"/>
      <c r="H86" s="902" t="str">
        <f>IF(C25="","",G37)</f>
        <v/>
      </c>
      <c r="I86" s="902"/>
      <c r="J86" s="902"/>
      <c r="K86" s="902"/>
      <c r="L86" s="903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spans="1:35" ht="24.75" customHeight="1" thickBot="1" x14ac:dyDescent="0.3">
      <c r="A87" s="33"/>
      <c r="B87" s="33"/>
      <c r="C87" s="908" t="s">
        <v>139</v>
      </c>
      <c r="D87" s="909"/>
      <c r="E87" s="909"/>
      <c r="F87" s="909"/>
      <c r="G87" s="909"/>
      <c r="H87" s="909"/>
      <c r="I87" s="909"/>
      <c r="J87" s="909"/>
      <c r="K87" s="909"/>
      <c r="L87" s="910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35"/>
      <c r="X87" s="35"/>
      <c r="Y87" s="35"/>
      <c r="AD87" s="35"/>
      <c r="AE87" s="35"/>
      <c r="AF87" s="35"/>
      <c r="AG87" s="35"/>
      <c r="AH87" s="35"/>
      <c r="AI87" s="35"/>
    </row>
    <row r="88" spans="1:35" ht="24" customHeight="1" x14ac:dyDescent="0.25">
      <c r="A88" s="33"/>
      <c r="B88" s="33"/>
      <c r="C88" s="824" t="s">
        <v>28</v>
      </c>
      <c r="D88" s="825"/>
      <c r="E88" s="825" t="s">
        <v>122</v>
      </c>
      <c r="F88" s="825"/>
      <c r="G88" s="828" t="s">
        <v>0</v>
      </c>
      <c r="H88" s="828" t="s">
        <v>1</v>
      </c>
      <c r="I88" s="828" t="s">
        <v>203</v>
      </c>
      <c r="J88" s="828" t="s">
        <v>204</v>
      </c>
      <c r="K88" s="828" t="s">
        <v>205</v>
      </c>
      <c r="L88" s="839" t="s">
        <v>206</v>
      </c>
      <c r="M88" s="863" t="s">
        <v>123</v>
      </c>
      <c r="N88" s="828" t="s">
        <v>124</v>
      </c>
      <c r="O88" s="828" t="s">
        <v>216</v>
      </c>
      <c r="P88" s="828" t="s">
        <v>217</v>
      </c>
      <c r="Q88" s="828" t="s">
        <v>218</v>
      </c>
      <c r="R88" s="828" t="s">
        <v>222</v>
      </c>
      <c r="S88" s="828" t="s">
        <v>220</v>
      </c>
      <c r="T88" s="839" t="s">
        <v>221</v>
      </c>
      <c r="U88" s="878" t="s">
        <v>219</v>
      </c>
      <c r="V88" s="110"/>
      <c r="W88" s="762" t="s">
        <v>125</v>
      </c>
      <c r="X88" s="763"/>
      <c r="Y88" s="763"/>
      <c r="Z88" s="763"/>
      <c r="AA88" s="872" t="str">
        <f>IF(G91="","",_xlfn.MODE.SNGL(G91:L94))</f>
        <v/>
      </c>
      <c r="AB88" s="872"/>
      <c r="AC88" s="873"/>
      <c r="AD88" s="35"/>
      <c r="AE88" s="35"/>
      <c r="AF88" s="35"/>
      <c r="AG88" s="35"/>
      <c r="AH88" s="35"/>
      <c r="AI88" s="35"/>
    </row>
    <row r="89" spans="1:35" ht="20.25" customHeight="1" thickBot="1" x14ac:dyDescent="0.3">
      <c r="A89" s="33"/>
      <c r="B89" s="33"/>
      <c r="C89" s="826"/>
      <c r="D89" s="827"/>
      <c r="E89" s="827"/>
      <c r="F89" s="827"/>
      <c r="G89" s="829"/>
      <c r="H89" s="829"/>
      <c r="I89" s="829"/>
      <c r="J89" s="829"/>
      <c r="K89" s="829"/>
      <c r="L89" s="840"/>
      <c r="M89" s="864"/>
      <c r="N89" s="829"/>
      <c r="O89" s="829"/>
      <c r="P89" s="829"/>
      <c r="Q89" s="829"/>
      <c r="R89" s="829"/>
      <c r="S89" s="829"/>
      <c r="T89" s="840"/>
      <c r="U89" s="879"/>
      <c r="V89" s="110"/>
      <c r="W89" s="880" t="s">
        <v>126</v>
      </c>
      <c r="X89" s="881"/>
      <c r="Y89" s="881"/>
      <c r="Z89" s="881"/>
      <c r="AA89" s="882" t="str">
        <f>IF(G91="","",MEDIAN(G91:L94))</f>
        <v/>
      </c>
      <c r="AB89" s="882"/>
      <c r="AC89" s="883"/>
      <c r="AD89" s="35"/>
      <c r="AE89" s="35"/>
      <c r="AF89" s="35"/>
      <c r="AG89" s="35"/>
      <c r="AH89" s="35"/>
      <c r="AI89" s="35"/>
    </row>
    <row r="90" spans="1:35" ht="19.5" customHeight="1" x14ac:dyDescent="0.25">
      <c r="A90" s="33"/>
      <c r="B90" s="33"/>
      <c r="C90" s="826"/>
      <c r="D90" s="827"/>
      <c r="E90" s="827"/>
      <c r="F90" s="827"/>
      <c r="G90" s="829"/>
      <c r="H90" s="829"/>
      <c r="I90" s="829"/>
      <c r="J90" s="829"/>
      <c r="K90" s="829"/>
      <c r="L90" s="840"/>
      <c r="M90" s="864"/>
      <c r="N90" s="829"/>
      <c r="O90" s="829"/>
      <c r="P90" s="829"/>
      <c r="Q90" s="829"/>
      <c r="R90" s="829"/>
      <c r="S90" s="829"/>
      <c r="T90" s="840"/>
      <c r="U90" s="879"/>
      <c r="V90" s="110"/>
      <c r="W90" s="884" t="s">
        <v>187</v>
      </c>
      <c r="X90" s="885"/>
      <c r="Y90" s="885"/>
      <c r="Z90" s="886"/>
      <c r="AA90" s="914" t="str">
        <f>IF(G91="","", IF(AND(OR(M91=$AB$8,M91=""),OR(M92=$AB$8,M92=""),OR(M93=$AB$8,M93=""),OR(M94=$AB$8,M94=""),OR(N91=$AB$8,N91=""),OR(N92=$AB$8,N92=""),OR(N93=$AB$8,N93=""),OR(N94=$AB$8,N94=""),OR(O91=$AB$8,O91=""),OR(O92=$AB$8,O92=""),OR(O93=$AB$8,O93=""),OR(O94=$AB$8,O94=""),OR(P91=$AB$8,P91=""),OR(P92=$AB$8,P92=""),OR(P93=$AB$8,P93=""),OR(P94=$AB$8,P94=""),OR(Q91=$AB$8,Q91=""),OR(Q92=$AB$8,Q92=""),OR(Q93=$AB$8,Q93=""),OR(Q94=$AB$8,Q94=""),OR(R91=$AB$8,R91=""),OR(R92=$AB$8,R92=""),OR(R93=$AB$8,R93=""),OR(R94=$AB$8,R94=""),OR(U91&lt;=$I$14,U91=""),OR(U92&lt;=$I$14,U92=""),OR(U93&lt;=$I$14,U93=""),OR(U94&lt;=$I$14,U94="")),$AB$7, $AB$6))</f>
        <v/>
      </c>
      <c r="AB90" s="914"/>
      <c r="AC90" s="915"/>
      <c r="AD90" s="35"/>
      <c r="AE90" s="35"/>
      <c r="AF90" s="35"/>
      <c r="AG90" s="35"/>
      <c r="AH90" s="35"/>
      <c r="AI90" s="35"/>
    </row>
    <row r="91" spans="1:35" ht="15.75" x14ac:dyDescent="0.25">
      <c r="A91" s="33"/>
      <c r="B91" s="33"/>
      <c r="C91" s="746"/>
      <c r="D91" s="745"/>
      <c r="E91" s="745"/>
      <c r="F91" s="745"/>
      <c r="G91" s="184"/>
      <c r="H91" s="184"/>
      <c r="I91" s="2"/>
      <c r="J91" s="2"/>
      <c r="K91" s="2"/>
      <c r="L91" s="113"/>
      <c r="M91" s="56" t="str">
        <f t="shared" ref="M91:R91" si="19">IF(G91="","",IF(ABS(G91-$K$13)&gt;$I$14,"NOT OK", "OK"))</f>
        <v/>
      </c>
      <c r="N91" s="61" t="str">
        <f t="shared" si="19"/>
        <v/>
      </c>
      <c r="O91" s="61" t="str">
        <f t="shared" si="19"/>
        <v/>
      </c>
      <c r="P91" s="61" t="str">
        <f t="shared" si="19"/>
        <v/>
      </c>
      <c r="Q91" s="61" t="str">
        <f t="shared" si="19"/>
        <v/>
      </c>
      <c r="R91" s="61" t="str">
        <f t="shared" si="19"/>
        <v/>
      </c>
      <c r="S91" s="14" t="str">
        <f>IF(G91="","",MAX(G91:L91))</f>
        <v/>
      </c>
      <c r="T91" s="106" t="str">
        <f>IF(G91="","",MIN(G91:L91))</f>
        <v/>
      </c>
      <c r="U91" s="108" t="str">
        <f>IF(G91="","",ABS(S91-T91))</f>
        <v/>
      </c>
      <c r="V91" s="19"/>
      <c r="W91" s="887"/>
      <c r="X91" s="888"/>
      <c r="Y91" s="888"/>
      <c r="Z91" s="889"/>
      <c r="AA91" s="916"/>
      <c r="AB91" s="916"/>
      <c r="AC91" s="917"/>
      <c r="AD91" s="35"/>
      <c r="AE91" s="35"/>
      <c r="AF91" s="35"/>
      <c r="AG91" s="35"/>
      <c r="AH91" s="35"/>
      <c r="AI91" s="35"/>
    </row>
    <row r="92" spans="1:35" ht="15.75" x14ac:dyDescent="0.25">
      <c r="A92" s="33"/>
      <c r="B92" s="33"/>
      <c r="C92" s="746"/>
      <c r="D92" s="745"/>
      <c r="E92" s="745"/>
      <c r="F92" s="745"/>
      <c r="G92" s="184"/>
      <c r="H92" s="184"/>
      <c r="I92" s="2"/>
      <c r="J92" s="2"/>
      <c r="K92" s="2"/>
      <c r="L92" s="113"/>
      <c r="M92" s="56" t="str">
        <f>IF(G92="","",IF(ABS(G92-$K$13)&gt;$I$14,"NOT OK", "OK"))</f>
        <v/>
      </c>
      <c r="N92" s="61" t="str">
        <f>IF(H92="","",IF(ABS(H92-$K$13)&gt;$I$14,"NOT OK", "OK"))</f>
        <v/>
      </c>
      <c r="O92" s="61" t="str">
        <f>IF(I92="","",IF(ABS(I92-$K$13)&gt;$I$14,"NOT OK", "OK"))</f>
        <v/>
      </c>
      <c r="P92" s="61" t="str">
        <f t="shared" ref="P92:P94" si="20">IF(J92="","",IF(ABS(J92-$K$13)&gt;$I$14,"NOT OK", "OK"))</f>
        <v/>
      </c>
      <c r="Q92" s="61" t="str">
        <f t="shared" ref="Q92:Q94" si="21">IF(K92="","",IF(ABS(K92-$K$13)&gt;$I$14,"NOT OK", "OK"))</f>
        <v/>
      </c>
      <c r="R92" s="61" t="str">
        <f t="shared" ref="R92:R94" si="22">IF(L92="","",IF(ABS(L92-$K$13)&gt;$I$14,"NOT OK", "OK"))</f>
        <v/>
      </c>
      <c r="S92" s="14" t="str">
        <f>IF(G92="","",MAX(G92:L92))</f>
        <v/>
      </c>
      <c r="T92" s="106" t="str">
        <f>IF(G92="","",MIN(G92:L92))</f>
        <v/>
      </c>
      <c r="U92" s="108" t="str">
        <f>IF(G92="","",ABS(S92-T92))</f>
        <v/>
      </c>
      <c r="V92" s="19"/>
      <c r="W92" s="887"/>
      <c r="X92" s="888"/>
      <c r="Y92" s="888"/>
      <c r="Z92" s="889"/>
      <c r="AA92" s="916"/>
      <c r="AB92" s="916"/>
      <c r="AC92" s="917"/>
      <c r="AD92" s="35"/>
      <c r="AE92" s="35"/>
      <c r="AF92" s="35"/>
      <c r="AG92" s="35"/>
      <c r="AH92" s="35"/>
      <c r="AI92" s="35"/>
    </row>
    <row r="93" spans="1:35" ht="15.75" x14ac:dyDescent="0.25">
      <c r="A93" s="33"/>
      <c r="B93" s="33"/>
      <c r="C93" s="746"/>
      <c r="D93" s="745"/>
      <c r="E93" s="745"/>
      <c r="F93" s="745"/>
      <c r="G93" s="2"/>
      <c r="H93" s="2"/>
      <c r="I93" s="2"/>
      <c r="J93" s="2"/>
      <c r="K93" s="2"/>
      <c r="L93" s="113"/>
      <c r="M93" s="56" t="str">
        <f t="shared" ref="M93:M94" si="23">IF(G93="","",IF(ABS(G93-$K$13)&gt;$I$14,"NOT OK", "OK"))</f>
        <v/>
      </c>
      <c r="N93" s="61" t="str">
        <f t="shared" ref="N93:N94" si="24">IF(H93="","",IF(ABS(H93-$K$13)&gt;$I$14,"NOT OK", "OK"))</f>
        <v/>
      </c>
      <c r="O93" s="61" t="str">
        <f t="shared" ref="O93:O94" si="25">IF(I93="","",IF(ABS(I93-$K$13)&gt;$I$14,"NOT OK", "OK"))</f>
        <v/>
      </c>
      <c r="P93" s="61" t="str">
        <f t="shared" si="20"/>
        <v/>
      </c>
      <c r="Q93" s="61" t="str">
        <f t="shared" si="21"/>
        <v/>
      </c>
      <c r="R93" s="61" t="str">
        <f t="shared" si="22"/>
        <v/>
      </c>
      <c r="S93" s="14" t="str">
        <f t="shared" ref="S93:S94" si="26">IF(G93="","",MAX(G93:L93))</f>
        <v/>
      </c>
      <c r="T93" s="106" t="str">
        <f t="shared" ref="T93:T94" si="27">IF(G93="","",MIN(G93:L93))</f>
        <v/>
      </c>
      <c r="U93" s="108" t="str">
        <f t="shared" ref="U93:U94" si="28">IF(G93="","",ABS(S93-T93))</f>
        <v/>
      </c>
      <c r="V93" s="19"/>
      <c r="W93" s="887"/>
      <c r="X93" s="888"/>
      <c r="Y93" s="888"/>
      <c r="Z93" s="889"/>
      <c r="AA93" s="918"/>
      <c r="AB93" s="918"/>
      <c r="AC93" s="919"/>
      <c r="AD93" s="35"/>
      <c r="AE93" s="35"/>
      <c r="AF93" s="35"/>
      <c r="AG93" s="35"/>
      <c r="AH93" s="35"/>
      <c r="AI93" s="35"/>
    </row>
    <row r="94" spans="1:35" ht="16.5" thickBot="1" x14ac:dyDescent="0.3">
      <c r="A94" s="33"/>
      <c r="B94" s="33"/>
      <c r="C94" s="805"/>
      <c r="D94" s="806"/>
      <c r="E94" s="806"/>
      <c r="F94" s="806"/>
      <c r="G94" s="58"/>
      <c r="H94" s="58"/>
      <c r="I94" s="58"/>
      <c r="J94" s="58"/>
      <c r="K94" s="58"/>
      <c r="L94" s="114"/>
      <c r="M94" s="59" t="str">
        <f t="shared" si="23"/>
        <v/>
      </c>
      <c r="N94" s="62" t="str">
        <f t="shared" si="24"/>
        <v/>
      </c>
      <c r="O94" s="62" t="str">
        <f t="shared" si="25"/>
        <v/>
      </c>
      <c r="P94" s="62" t="str">
        <f t="shared" si="20"/>
        <v/>
      </c>
      <c r="Q94" s="62" t="str">
        <f t="shared" si="21"/>
        <v/>
      </c>
      <c r="R94" s="62" t="str">
        <f t="shared" si="22"/>
        <v/>
      </c>
      <c r="S94" s="103" t="str">
        <f t="shared" si="26"/>
        <v/>
      </c>
      <c r="T94" s="107" t="str">
        <f t="shared" si="27"/>
        <v/>
      </c>
      <c r="U94" s="109" t="str">
        <f t="shared" si="28"/>
        <v/>
      </c>
      <c r="V94" s="19"/>
      <c r="W94" s="887"/>
      <c r="X94" s="888"/>
      <c r="Y94" s="888"/>
      <c r="Z94" s="889"/>
      <c r="AA94" s="918"/>
      <c r="AB94" s="918"/>
      <c r="AC94" s="919"/>
      <c r="AD94" s="35"/>
      <c r="AE94" s="35"/>
      <c r="AF94" s="35"/>
      <c r="AG94" s="35"/>
      <c r="AH94" s="35"/>
      <c r="AI94" s="35"/>
    </row>
    <row r="95" spans="1:35" ht="24.75" customHeight="1" thickBot="1" x14ac:dyDescent="0.3">
      <c r="A95" s="33"/>
      <c r="B95" s="33"/>
      <c r="C95" s="911" t="s">
        <v>140</v>
      </c>
      <c r="D95" s="912"/>
      <c r="E95" s="912"/>
      <c r="F95" s="912"/>
      <c r="G95" s="912"/>
      <c r="H95" s="912"/>
      <c r="I95" s="912"/>
      <c r="J95" s="912"/>
      <c r="K95" s="912"/>
      <c r="L95" s="91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90"/>
      <c r="X95" s="891"/>
      <c r="Y95" s="891"/>
      <c r="Z95" s="892"/>
      <c r="AA95" s="920"/>
      <c r="AB95" s="920"/>
      <c r="AC95" s="921"/>
      <c r="AD95" s="35"/>
      <c r="AE95" s="35"/>
      <c r="AF95" s="35"/>
      <c r="AG95" s="35"/>
      <c r="AH95" s="35"/>
      <c r="AI95" s="35"/>
    </row>
    <row r="96" spans="1:35" ht="21.75" customHeight="1" x14ac:dyDescent="0.25">
      <c r="A96" s="33"/>
      <c r="B96" s="33"/>
      <c r="C96" s="824" t="s">
        <v>28</v>
      </c>
      <c r="D96" s="825"/>
      <c r="E96" s="825" t="s">
        <v>122</v>
      </c>
      <c r="F96" s="825"/>
      <c r="G96" s="828" t="s">
        <v>0</v>
      </c>
      <c r="H96" s="828" t="s">
        <v>1</v>
      </c>
      <c r="I96" s="828" t="s">
        <v>203</v>
      </c>
      <c r="J96" s="828" t="s">
        <v>204</v>
      </c>
      <c r="K96" s="828" t="s">
        <v>205</v>
      </c>
      <c r="L96" s="839" t="s">
        <v>206</v>
      </c>
      <c r="M96" s="863" t="s">
        <v>123</v>
      </c>
      <c r="N96" s="828" t="s">
        <v>124</v>
      </c>
      <c r="O96" s="828" t="s">
        <v>216</v>
      </c>
      <c r="P96" s="828" t="s">
        <v>217</v>
      </c>
      <c r="Q96" s="828" t="s">
        <v>218</v>
      </c>
      <c r="R96" s="828" t="s">
        <v>222</v>
      </c>
      <c r="S96" s="828" t="s">
        <v>220</v>
      </c>
      <c r="T96" s="839" t="s">
        <v>221</v>
      </c>
      <c r="U96" s="878" t="s">
        <v>219</v>
      </c>
      <c r="V96" s="110"/>
      <c r="W96" s="762" t="s">
        <v>125</v>
      </c>
      <c r="X96" s="763"/>
      <c r="Y96" s="763"/>
      <c r="Z96" s="763"/>
      <c r="AA96" s="872" t="str">
        <f>IF(G99="","",_xlfn.MODE.SNGL(G99:L102))</f>
        <v/>
      </c>
      <c r="AB96" s="872"/>
      <c r="AC96" s="873"/>
      <c r="AD96" s="35"/>
      <c r="AE96" s="35"/>
      <c r="AF96" s="35"/>
      <c r="AG96" s="35"/>
      <c r="AH96" s="35"/>
      <c r="AI96" s="35"/>
    </row>
    <row r="97" spans="1:35" ht="21.75" customHeight="1" thickBot="1" x14ac:dyDescent="0.3">
      <c r="A97" s="33"/>
      <c r="B97" s="33"/>
      <c r="C97" s="826"/>
      <c r="D97" s="827"/>
      <c r="E97" s="827"/>
      <c r="F97" s="827"/>
      <c r="G97" s="829"/>
      <c r="H97" s="829"/>
      <c r="I97" s="829"/>
      <c r="J97" s="829"/>
      <c r="K97" s="829"/>
      <c r="L97" s="840"/>
      <c r="M97" s="864"/>
      <c r="N97" s="829"/>
      <c r="O97" s="829"/>
      <c r="P97" s="829"/>
      <c r="Q97" s="829"/>
      <c r="R97" s="829"/>
      <c r="S97" s="829"/>
      <c r="T97" s="840"/>
      <c r="U97" s="879"/>
      <c r="V97" s="110"/>
      <c r="W97" s="880" t="s">
        <v>126</v>
      </c>
      <c r="X97" s="881"/>
      <c r="Y97" s="881"/>
      <c r="Z97" s="881"/>
      <c r="AA97" s="882" t="str">
        <f>IF(G99="","",MEDIAN(G99:L102))</f>
        <v/>
      </c>
      <c r="AB97" s="882"/>
      <c r="AC97" s="883"/>
      <c r="AD97" s="35"/>
      <c r="AE97" s="35"/>
      <c r="AF97" s="35"/>
      <c r="AG97" s="35"/>
      <c r="AH97" s="35"/>
      <c r="AI97" s="35"/>
    </row>
    <row r="98" spans="1:35" ht="21.75" customHeight="1" x14ac:dyDescent="0.25">
      <c r="A98" s="33"/>
      <c r="B98" s="33"/>
      <c r="C98" s="826"/>
      <c r="D98" s="827"/>
      <c r="E98" s="827"/>
      <c r="F98" s="827"/>
      <c r="G98" s="829"/>
      <c r="H98" s="829"/>
      <c r="I98" s="829"/>
      <c r="J98" s="829"/>
      <c r="K98" s="829"/>
      <c r="L98" s="840"/>
      <c r="M98" s="864"/>
      <c r="N98" s="829"/>
      <c r="O98" s="829"/>
      <c r="P98" s="829"/>
      <c r="Q98" s="829"/>
      <c r="R98" s="829"/>
      <c r="S98" s="829"/>
      <c r="T98" s="840"/>
      <c r="U98" s="879"/>
      <c r="V98" s="110"/>
      <c r="W98" s="884" t="s">
        <v>189</v>
      </c>
      <c r="X98" s="885"/>
      <c r="Y98" s="885"/>
      <c r="Z98" s="886"/>
      <c r="AA98" s="895" t="str">
        <f>IF(G99="","", IF(AND(OR(M99=$AB$8,M99=""),OR(M100=$AB$8,M100=""),OR(M101=$AB$8,M101=""),OR(M102=$AB$8,M102=""),OR(N99=$AB$8,N99=""),OR(N100=$AB$8,N100=""),OR(N101=$AB$8,N101=""),OR(N102=$AB$8,N102=""),OR(O99=$AB$8,O99=""),OR(O100=$AB$8,O100=""),OR(O101=$AB$8,O101=""),OR(O102=$AB$8,O102=""),OR(P99=$AB$8,P99=""),OR(P100=$AB$8,P100=""),OR(P101=$AB$8,P101=""),OR(P102=$AB$8,P102=""),OR(Q99=$AB$8,Q99=""),OR(Q100=$AB$8,Q100=""),OR(Q101=$AB$8,Q101=""),OR(Q102=$AB$8,Q102=""),OR(R99=$AB$8,R99=""),OR(R100=$AB$8,R100=""),OR(R101=$AB$8,R101=""),OR(R102=$AB$8,R102=""),OR(U99&lt;=$I$14,U99=""),OR(U100&lt;=$I$14,U100=""),OR(U101&lt;=$I$14,U101=""),OR(U102&lt;=$I$14,U102="")),$AB$7, $AB$6))</f>
        <v/>
      </c>
      <c r="AB98" s="895"/>
      <c r="AC98" s="896"/>
      <c r="AD98" s="35"/>
      <c r="AE98" s="35"/>
      <c r="AF98" s="35"/>
      <c r="AG98" s="35"/>
      <c r="AH98" s="35"/>
      <c r="AI98" s="35"/>
    </row>
    <row r="99" spans="1:35" ht="15.75" customHeight="1" x14ac:dyDescent="0.25">
      <c r="A99" s="33"/>
      <c r="B99" s="33"/>
      <c r="C99" s="746"/>
      <c r="D99" s="745"/>
      <c r="E99" s="745"/>
      <c r="F99" s="745"/>
      <c r="G99" s="184"/>
      <c r="H99" s="184"/>
      <c r="I99" s="2"/>
      <c r="J99" s="2"/>
      <c r="K99" s="2"/>
      <c r="L99" s="113"/>
      <c r="M99" s="56" t="str">
        <f t="shared" ref="M99:R99" si="29">IF(G99="","",IF(ABS(G99-$K$13)&gt;$I$14,"NOT OK", "OK"))</f>
        <v/>
      </c>
      <c r="N99" s="61" t="str">
        <f t="shared" si="29"/>
        <v/>
      </c>
      <c r="O99" s="61" t="str">
        <f t="shared" si="29"/>
        <v/>
      </c>
      <c r="P99" s="61" t="str">
        <f t="shared" si="29"/>
        <v/>
      </c>
      <c r="Q99" s="61" t="str">
        <f t="shared" si="29"/>
        <v/>
      </c>
      <c r="R99" s="61" t="str">
        <f t="shared" si="29"/>
        <v/>
      </c>
      <c r="S99" s="14" t="str">
        <f>IF(G99="","",MAX(G99:L99))</f>
        <v/>
      </c>
      <c r="T99" s="106" t="str">
        <f>IF(G99="","",MIN(G99:L99))</f>
        <v/>
      </c>
      <c r="U99" s="108" t="str">
        <f>IF(G99="","",ABS(S99-T99))</f>
        <v/>
      </c>
      <c r="V99" s="19"/>
      <c r="W99" s="887"/>
      <c r="X99" s="888"/>
      <c r="Y99" s="888"/>
      <c r="Z99" s="889"/>
      <c r="AA99" s="455"/>
      <c r="AB99" s="455"/>
      <c r="AC99" s="897"/>
      <c r="AD99" s="35"/>
      <c r="AE99" s="35"/>
      <c r="AF99" s="35"/>
      <c r="AG99" s="35"/>
      <c r="AH99" s="35"/>
      <c r="AI99" s="35"/>
    </row>
    <row r="100" spans="1:35" ht="15.75" customHeight="1" x14ac:dyDescent="0.25">
      <c r="A100" s="33"/>
      <c r="B100" s="33"/>
      <c r="C100" s="746"/>
      <c r="D100" s="745"/>
      <c r="E100" s="745"/>
      <c r="F100" s="745"/>
      <c r="G100" s="184"/>
      <c r="H100" s="184"/>
      <c r="I100" s="2"/>
      <c r="J100" s="2"/>
      <c r="K100" s="2"/>
      <c r="L100" s="113"/>
      <c r="M100" s="56" t="str">
        <f>IF(G100="","",IF(ABS(G100-$K$13)&gt;$I$14,"NOT OK", "OK"))</f>
        <v/>
      </c>
      <c r="N100" s="61" t="str">
        <f>IF(H100="","",IF(ABS(H100-$K$13)&gt;$I$14,"NOT OK", "OK"))</f>
        <v/>
      </c>
      <c r="O100" s="61" t="str">
        <f>IF(I100="","",IF(ABS(I100-$K$13)&gt;$I$14,"NOT OK", "OK"))</f>
        <v/>
      </c>
      <c r="P100" s="61" t="str">
        <f t="shared" ref="P100:P102" si="30">IF(J100="","",IF(ABS(J100-$K$13)&gt;$I$14,"NOT OK", "OK"))</f>
        <v/>
      </c>
      <c r="Q100" s="61" t="str">
        <f t="shared" ref="Q100:Q102" si="31">IF(K100="","",IF(ABS(K100-$K$13)&gt;$I$14,"NOT OK", "OK"))</f>
        <v/>
      </c>
      <c r="R100" s="61" t="str">
        <f t="shared" ref="R100:R102" si="32">IF(L100="","",IF(ABS(L100-$K$13)&gt;$I$14,"NOT OK", "OK"))</f>
        <v/>
      </c>
      <c r="S100" s="14" t="str">
        <f>IF(G100="","",MAX(G100:L100))</f>
        <v/>
      </c>
      <c r="T100" s="106" t="str">
        <f>IF(G100="","",MIN(G100:L100))</f>
        <v/>
      </c>
      <c r="U100" s="108" t="str">
        <f>IF(G100="","",ABS(S100-T100))</f>
        <v/>
      </c>
      <c r="V100" s="19"/>
      <c r="W100" s="887"/>
      <c r="X100" s="888"/>
      <c r="Y100" s="888"/>
      <c r="Z100" s="889"/>
      <c r="AA100" s="455"/>
      <c r="AB100" s="455"/>
      <c r="AC100" s="897"/>
      <c r="AD100" s="35"/>
      <c r="AE100" s="35"/>
      <c r="AF100" s="35"/>
      <c r="AG100" s="35"/>
      <c r="AH100" s="35"/>
      <c r="AI100" s="35"/>
    </row>
    <row r="101" spans="1:35" ht="15.75" customHeight="1" x14ac:dyDescent="0.25">
      <c r="A101" s="33"/>
      <c r="B101" s="33"/>
      <c r="C101" s="746"/>
      <c r="D101" s="745"/>
      <c r="E101" s="745"/>
      <c r="F101" s="745"/>
      <c r="G101" s="2"/>
      <c r="H101" s="2"/>
      <c r="I101" s="2"/>
      <c r="J101" s="2"/>
      <c r="K101" s="2"/>
      <c r="L101" s="113"/>
      <c r="M101" s="56" t="str">
        <f t="shared" ref="M101:M102" si="33">IF(G101="","",IF(ABS(G101-$K$13)&gt;$I$14,"NOT OK", "OK"))</f>
        <v/>
      </c>
      <c r="N101" s="61" t="str">
        <f t="shared" ref="N101:N102" si="34">IF(H101="","",IF(ABS(H101-$K$13)&gt;$I$14,"NOT OK", "OK"))</f>
        <v/>
      </c>
      <c r="O101" s="61" t="str">
        <f t="shared" ref="O101:O102" si="35">IF(I101="","",IF(ABS(I101-$K$13)&gt;$I$14,"NOT OK", "OK"))</f>
        <v/>
      </c>
      <c r="P101" s="61" t="str">
        <f t="shared" si="30"/>
        <v/>
      </c>
      <c r="Q101" s="61" t="str">
        <f t="shared" si="31"/>
        <v/>
      </c>
      <c r="R101" s="61" t="str">
        <f t="shared" si="32"/>
        <v/>
      </c>
      <c r="S101" s="14" t="str">
        <f t="shared" ref="S101:S102" si="36">IF(G101="","",MAX(G101:L101))</f>
        <v/>
      </c>
      <c r="T101" s="106" t="str">
        <f t="shared" ref="T101:T102" si="37">IF(G101="","",MIN(G101:L101))</f>
        <v/>
      </c>
      <c r="U101" s="108" t="str">
        <f t="shared" ref="U101:U102" si="38">IF(G101="","",ABS(S101-T101))</f>
        <v/>
      </c>
      <c r="V101" s="19"/>
      <c r="W101" s="887"/>
      <c r="X101" s="888"/>
      <c r="Y101" s="888"/>
      <c r="Z101" s="889"/>
      <c r="AA101" s="898"/>
      <c r="AB101" s="898"/>
      <c r="AC101" s="899"/>
      <c r="AD101" s="35"/>
      <c r="AE101" s="35"/>
      <c r="AF101" s="35"/>
      <c r="AG101" s="35"/>
      <c r="AH101" s="35"/>
      <c r="AI101" s="35"/>
    </row>
    <row r="102" spans="1:35" ht="16.5" customHeight="1" thickBot="1" x14ac:dyDescent="0.3">
      <c r="A102" s="33"/>
      <c r="B102" s="33"/>
      <c r="C102" s="805"/>
      <c r="D102" s="806"/>
      <c r="E102" s="806"/>
      <c r="F102" s="806"/>
      <c r="G102" s="58"/>
      <c r="H102" s="58"/>
      <c r="I102" s="58"/>
      <c r="J102" s="58"/>
      <c r="K102" s="58"/>
      <c r="L102" s="114"/>
      <c r="M102" s="59" t="str">
        <f t="shared" si="33"/>
        <v/>
      </c>
      <c r="N102" s="62" t="str">
        <f t="shared" si="34"/>
        <v/>
      </c>
      <c r="O102" s="62" t="str">
        <f t="shared" si="35"/>
        <v/>
      </c>
      <c r="P102" s="62" t="str">
        <f t="shared" si="30"/>
        <v/>
      </c>
      <c r="Q102" s="62" t="str">
        <f t="shared" si="31"/>
        <v/>
      </c>
      <c r="R102" s="62" t="str">
        <f t="shared" si="32"/>
        <v/>
      </c>
      <c r="S102" s="103" t="str">
        <f t="shared" si="36"/>
        <v/>
      </c>
      <c r="T102" s="107" t="str">
        <f t="shared" si="37"/>
        <v/>
      </c>
      <c r="U102" s="109" t="str">
        <f t="shared" si="38"/>
        <v/>
      </c>
      <c r="V102" s="19"/>
      <c r="W102" s="887"/>
      <c r="X102" s="888"/>
      <c r="Y102" s="888"/>
      <c r="Z102" s="889"/>
      <c r="AA102" s="898"/>
      <c r="AB102" s="898"/>
      <c r="AC102" s="899"/>
      <c r="AD102" s="35"/>
      <c r="AE102" s="35"/>
      <c r="AF102" s="35"/>
      <c r="AG102" s="35"/>
      <c r="AH102" s="35"/>
      <c r="AI102" s="35"/>
    </row>
    <row r="103" spans="1:35" ht="25.5" customHeight="1" thickBot="1" x14ac:dyDescent="0.3">
      <c r="A103" s="33"/>
      <c r="B103" s="33"/>
      <c r="C103" s="911" t="s">
        <v>141</v>
      </c>
      <c r="D103" s="912"/>
      <c r="E103" s="912"/>
      <c r="F103" s="912"/>
      <c r="G103" s="912"/>
      <c r="H103" s="912"/>
      <c r="I103" s="912"/>
      <c r="J103" s="912"/>
      <c r="K103" s="912"/>
      <c r="L103" s="91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90"/>
      <c r="X103" s="891"/>
      <c r="Y103" s="891"/>
      <c r="Z103" s="892"/>
      <c r="AA103" s="900"/>
      <c r="AB103" s="900"/>
      <c r="AC103" s="901"/>
      <c r="AD103" s="35"/>
      <c r="AE103" s="35"/>
      <c r="AF103" s="35"/>
      <c r="AG103" s="35"/>
      <c r="AH103" s="35"/>
      <c r="AI103" s="35"/>
    </row>
    <row r="104" spans="1:35" ht="25.5" customHeight="1" x14ac:dyDescent="0.25">
      <c r="A104" s="33"/>
      <c r="B104" s="33"/>
      <c r="C104" s="824" t="s">
        <v>28</v>
      </c>
      <c r="D104" s="825"/>
      <c r="E104" s="825" t="s">
        <v>122</v>
      </c>
      <c r="F104" s="825"/>
      <c r="G104" s="828" t="s">
        <v>0</v>
      </c>
      <c r="H104" s="828" t="s">
        <v>1</v>
      </c>
      <c r="I104" s="828" t="s">
        <v>203</v>
      </c>
      <c r="J104" s="828" t="s">
        <v>204</v>
      </c>
      <c r="K104" s="828" t="s">
        <v>205</v>
      </c>
      <c r="L104" s="839" t="s">
        <v>206</v>
      </c>
      <c r="M104" s="863" t="s">
        <v>123</v>
      </c>
      <c r="N104" s="828" t="s">
        <v>124</v>
      </c>
      <c r="O104" s="828" t="s">
        <v>216</v>
      </c>
      <c r="P104" s="828" t="s">
        <v>217</v>
      </c>
      <c r="Q104" s="828" t="s">
        <v>218</v>
      </c>
      <c r="R104" s="828" t="s">
        <v>222</v>
      </c>
      <c r="S104" s="828" t="s">
        <v>220</v>
      </c>
      <c r="T104" s="839" t="s">
        <v>221</v>
      </c>
      <c r="U104" s="878" t="s">
        <v>219</v>
      </c>
      <c r="V104" s="110"/>
      <c r="W104" s="762" t="s">
        <v>125</v>
      </c>
      <c r="X104" s="763"/>
      <c r="Y104" s="763"/>
      <c r="Z104" s="763"/>
      <c r="AA104" s="872" t="str">
        <f>IF(G107="","",_xlfn.MODE.SNGL(G107:L110))</f>
        <v/>
      </c>
      <c r="AB104" s="872"/>
      <c r="AC104" s="873"/>
      <c r="AD104" s="35"/>
      <c r="AE104" s="35"/>
      <c r="AF104" s="35"/>
      <c r="AG104" s="35"/>
      <c r="AH104" s="35"/>
      <c r="AI104" s="35"/>
    </row>
    <row r="105" spans="1:35" ht="25.5" customHeight="1" thickBot="1" x14ac:dyDescent="0.3">
      <c r="A105" s="33"/>
      <c r="B105" s="33"/>
      <c r="C105" s="826"/>
      <c r="D105" s="827"/>
      <c r="E105" s="827"/>
      <c r="F105" s="827"/>
      <c r="G105" s="829"/>
      <c r="H105" s="829"/>
      <c r="I105" s="829"/>
      <c r="J105" s="829"/>
      <c r="K105" s="829"/>
      <c r="L105" s="840"/>
      <c r="M105" s="864"/>
      <c r="N105" s="829"/>
      <c r="O105" s="829"/>
      <c r="P105" s="829"/>
      <c r="Q105" s="829"/>
      <c r="R105" s="829"/>
      <c r="S105" s="829"/>
      <c r="T105" s="840"/>
      <c r="U105" s="879"/>
      <c r="V105" s="110"/>
      <c r="W105" s="880" t="s">
        <v>126</v>
      </c>
      <c r="X105" s="881"/>
      <c r="Y105" s="881"/>
      <c r="Z105" s="881"/>
      <c r="AA105" s="882" t="str">
        <f>IF(G107="","",MEDIAN(G107:L110))</f>
        <v/>
      </c>
      <c r="AB105" s="882"/>
      <c r="AC105" s="883"/>
      <c r="AD105" s="35"/>
      <c r="AE105" s="35"/>
      <c r="AF105" s="35"/>
      <c r="AG105" s="35"/>
      <c r="AH105" s="35"/>
      <c r="AI105" s="35"/>
    </row>
    <row r="106" spans="1:35" ht="25.5" customHeight="1" x14ac:dyDescent="0.25">
      <c r="A106" s="33"/>
      <c r="B106" s="33"/>
      <c r="C106" s="826"/>
      <c r="D106" s="827"/>
      <c r="E106" s="827"/>
      <c r="F106" s="827"/>
      <c r="G106" s="829"/>
      <c r="H106" s="829"/>
      <c r="I106" s="829"/>
      <c r="J106" s="829"/>
      <c r="K106" s="829"/>
      <c r="L106" s="840"/>
      <c r="M106" s="864"/>
      <c r="N106" s="829"/>
      <c r="O106" s="829"/>
      <c r="P106" s="829"/>
      <c r="Q106" s="829"/>
      <c r="R106" s="829"/>
      <c r="S106" s="829"/>
      <c r="T106" s="840"/>
      <c r="U106" s="879"/>
      <c r="V106" s="110"/>
      <c r="W106" s="884" t="s">
        <v>191</v>
      </c>
      <c r="X106" s="885"/>
      <c r="Y106" s="885"/>
      <c r="Z106" s="886"/>
      <c r="AA106" s="895" t="str">
        <f>IF(G107="","", IF(AND(OR(M107=$AB$8,M107=""),OR(M108=$AB$8,M108=""),OR(M109=$AB$8,M109=""),OR(M110=$AB$8,M110=""),OR(N107=$AB$8,N107=""),OR(N108=$AB$8,N108=""),OR(N109=$AB$8,N109=""),OR(N110=$AB$8,N110=""),OR(O107=$AB$8,O107=""),OR(O108=$AB$8,O108=""),OR(O109=$AB$8,O109=""),OR(O110=$AB$8,O110=""),OR(P107=$AB$8,P107=""),OR(P108=$AB$8,P108=""),OR(P109=$AB$8,P109=""),OR(P110=$AB$8,P110=""),OR(Q107=$AB$8,Q107=""),OR(Q108=$AB$8,Q108=""),OR(Q109=$AB$8,Q109=""),OR(Q110=$AB$8,Q110=""),OR(R107=$AB$8,R107=""),OR(R108=$AB$8,R108=""),OR(R109=$AB$8,R109=""),OR(R110=$AB$8,R110=""),OR(U107&lt;=$I$14,U107=""),OR(U108&lt;=$I$14,U108=""),OR(U109&lt;=$I$14,U109=""),OR(U110&lt;=$I$14,U110="")),$AB$7, $AB$6))</f>
        <v/>
      </c>
      <c r="AB106" s="895"/>
      <c r="AC106" s="896"/>
      <c r="AD106" s="35"/>
      <c r="AE106" s="35"/>
      <c r="AF106" s="35"/>
      <c r="AG106" s="35"/>
      <c r="AH106" s="35"/>
      <c r="AI106" s="35"/>
    </row>
    <row r="107" spans="1:35" ht="15.75" customHeight="1" x14ac:dyDescent="0.25">
      <c r="A107" s="33"/>
      <c r="B107" s="33"/>
      <c r="C107" s="746"/>
      <c r="D107" s="745"/>
      <c r="E107" s="745"/>
      <c r="F107" s="745"/>
      <c r="G107" s="184"/>
      <c r="H107" s="184"/>
      <c r="I107" s="2"/>
      <c r="J107" s="2"/>
      <c r="K107" s="2"/>
      <c r="L107" s="113"/>
      <c r="M107" s="56" t="str">
        <f t="shared" ref="M107:R107" si="39">IF(G107="","",IF(ABS(G107-$K$13)&gt;$I$14,"NOT OK", "OK"))</f>
        <v/>
      </c>
      <c r="N107" s="61" t="str">
        <f t="shared" si="39"/>
        <v/>
      </c>
      <c r="O107" s="61" t="str">
        <f t="shared" si="39"/>
        <v/>
      </c>
      <c r="P107" s="61" t="str">
        <f t="shared" si="39"/>
        <v/>
      </c>
      <c r="Q107" s="61" t="str">
        <f t="shared" si="39"/>
        <v/>
      </c>
      <c r="R107" s="61" t="str">
        <f t="shared" si="39"/>
        <v/>
      </c>
      <c r="S107" s="14" t="str">
        <f>IF(G107="","",MAX(G107:L107))</f>
        <v/>
      </c>
      <c r="T107" s="106" t="str">
        <f>IF(G107="","",MIN(G107:L107))</f>
        <v/>
      </c>
      <c r="U107" s="108" t="str">
        <f>IF(G107="","",ABS(S107-T107))</f>
        <v/>
      </c>
      <c r="V107" s="19"/>
      <c r="W107" s="887"/>
      <c r="X107" s="888"/>
      <c r="Y107" s="888"/>
      <c r="Z107" s="889"/>
      <c r="AA107" s="455"/>
      <c r="AB107" s="455"/>
      <c r="AC107" s="897"/>
      <c r="AD107" s="35"/>
      <c r="AE107" s="35"/>
      <c r="AF107" s="35"/>
      <c r="AG107" s="35"/>
      <c r="AH107" s="35"/>
      <c r="AI107" s="35"/>
    </row>
    <row r="108" spans="1:35" ht="15.75" customHeight="1" x14ac:dyDescent="0.25">
      <c r="A108" s="33"/>
      <c r="B108" s="33"/>
      <c r="C108" s="746"/>
      <c r="D108" s="745"/>
      <c r="E108" s="745"/>
      <c r="F108" s="745"/>
      <c r="G108" s="184"/>
      <c r="H108" s="184"/>
      <c r="I108" s="2"/>
      <c r="J108" s="2"/>
      <c r="K108" s="2"/>
      <c r="L108" s="113"/>
      <c r="M108" s="56" t="str">
        <f>IF(G108="","",IF(ABS(G108-$K$13)&gt;$I$14,"NOT OK", "OK"))</f>
        <v/>
      </c>
      <c r="N108" s="61" t="str">
        <f>IF(H108="","",IF(ABS(H108-$K$13)&gt;$I$14,"NOT OK", "OK"))</f>
        <v/>
      </c>
      <c r="O108" s="61" t="str">
        <f>IF(I108="","",IF(ABS(I108-$K$13)&gt;$I$14,"NOT OK", "OK"))</f>
        <v/>
      </c>
      <c r="P108" s="61" t="str">
        <f t="shared" ref="P108:P110" si="40">IF(J108="","",IF(ABS(J108-$K$13)&gt;$I$14,"NOT OK", "OK"))</f>
        <v/>
      </c>
      <c r="Q108" s="61" t="str">
        <f t="shared" ref="Q108:Q110" si="41">IF(K108="","",IF(ABS(K108-$K$13)&gt;$I$14,"NOT OK", "OK"))</f>
        <v/>
      </c>
      <c r="R108" s="61" t="str">
        <f t="shared" ref="R108:R110" si="42">IF(L108="","",IF(ABS(L108-$K$13)&gt;$I$14,"NOT OK", "OK"))</f>
        <v/>
      </c>
      <c r="S108" s="14" t="str">
        <f>IF(G108="","",MAX(G108:L108))</f>
        <v/>
      </c>
      <c r="T108" s="106" t="str">
        <f>IF(G108="","",MIN(G108:L108))</f>
        <v/>
      </c>
      <c r="U108" s="108" t="str">
        <f>IF(G108="","",ABS(S108-T108))</f>
        <v/>
      </c>
      <c r="V108" s="19"/>
      <c r="W108" s="887"/>
      <c r="X108" s="888"/>
      <c r="Y108" s="888"/>
      <c r="Z108" s="889"/>
      <c r="AA108" s="455"/>
      <c r="AB108" s="455"/>
      <c r="AC108" s="897"/>
      <c r="AD108" s="35"/>
      <c r="AE108" s="35"/>
      <c r="AF108" s="35"/>
      <c r="AG108" s="35"/>
      <c r="AH108" s="35"/>
      <c r="AI108" s="35"/>
    </row>
    <row r="109" spans="1:35" ht="15.75" customHeight="1" x14ac:dyDescent="0.25">
      <c r="A109" s="33"/>
      <c r="B109" s="33"/>
      <c r="C109" s="746"/>
      <c r="D109" s="745"/>
      <c r="E109" s="745"/>
      <c r="F109" s="745"/>
      <c r="G109" s="2"/>
      <c r="H109" s="2"/>
      <c r="I109" s="2"/>
      <c r="J109" s="2"/>
      <c r="K109" s="2"/>
      <c r="L109" s="113"/>
      <c r="M109" s="56" t="str">
        <f t="shared" ref="M109:M110" si="43">IF(G109="","",IF(ABS(G109-$K$13)&gt;$I$14,"NOT OK", "OK"))</f>
        <v/>
      </c>
      <c r="N109" s="61" t="str">
        <f t="shared" ref="N109:N110" si="44">IF(H109="","",IF(ABS(H109-$K$13)&gt;$I$14,"NOT OK", "OK"))</f>
        <v/>
      </c>
      <c r="O109" s="61" t="str">
        <f t="shared" ref="O109:O110" si="45">IF(I109="","",IF(ABS(I109-$K$13)&gt;$I$14,"NOT OK", "OK"))</f>
        <v/>
      </c>
      <c r="P109" s="61" t="str">
        <f t="shared" si="40"/>
        <v/>
      </c>
      <c r="Q109" s="61" t="str">
        <f t="shared" si="41"/>
        <v/>
      </c>
      <c r="R109" s="61" t="str">
        <f t="shared" si="42"/>
        <v/>
      </c>
      <c r="S109" s="14" t="str">
        <f t="shared" ref="S109:S110" si="46">IF(G109="","",MAX(G109:L109))</f>
        <v/>
      </c>
      <c r="T109" s="106" t="str">
        <f t="shared" ref="T109:T110" si="47">IF(G109="","",MIN(G109:L109))</f>
        <v/>
      </c>
      <c r="U109" s="108" t="str">
        <f t="shared" ref="U109:U110" si="48">IF(G109="","",ABS(S109-T109))</f>
        <v/>
      </c>
      <c r="V109" s="19"/>
      <c r="W109" s="887"/>
      <c r="X109" s="888"/>
      <c r="Y109" s="888"/>
      <c r="Z109" s="889"/>
      <c r="AA109" s="898"/>
      <c r="AB109" s="898"/>
      <c r="AC109" s="899"/>
      <c r="AD109" s="35"/>
      <c r="AE109" s="35"/>
      <c r="AF109" s="35"/>
      <c r="AG109" s="35"/>
      <c r="AH109" s="35"/>
      <c r="AI109" s="35"/>
    </row>
    <row r="110" spans="1:35" ht="16.5" customHeight="1" thickBot="1" x14ac:dyDescent="0.3">
      <c r="A110" s="33"/>
      <c r="B110" s="33"/>
      <c r="C110" s="805"/>
      <c r="D110" s="806"/>
      <c r="E110" s="806"/>
      <c r="F110" s="806"/>
      <c r="G110" s="58"/>
      <c r="H110" s="58"/>
      <c r="I110" s="58"/>
      <c r="J110" s="58"/>
      <c r="K110" s="58"/>
      <c r="L110" s="114"/>
      <c r="M110" s="59" t="str">
        <f t="shared" si="43"/>
        <v/>
      </c>
      <c r="N110" s="62" t="str">
        <f t="shared" si="44"/>
        <v/>
      </c>
      <c r="O110" s="62" t="str">
        <f t="shared" si="45"/>
        <v/>
      </c>
      <c r="P110" s="62" t="str">
        <f t="shared" si="40"/>
        <v/>
      </c>
      <c r="Q110" s="62" t="str">
        <f t="shared" si="41"/>
        <v/>
      </c>
      <c r="R110" s="62" t="str">
        <f t="shared" si="42"/>
        <v/>
      </c>
      <c r="S110" s="103" t="str">
        <f t="shared" si="46"/>
        <v/>
      </c>
      <c r="T110" s="107" t="str">
        <f t="shared" si="47"/>
        <v/>
      </c>
      <c r="U110" s="109" t="str">
        <f t="shared" si="48"/>
        <v/>
      </c>
      <c r="V110" s="19"/>
      <c r="W110" s="887"/>
      <c r="X110" s="888"/>
      <c r="Y110" s="888"/>
      <c r="Z110" s="889"/>
      <c r="AA110" s="898"/>
      <c r="AB110" s="898"/>
      <c r="AC110" s="899"/>
      <c r="AD110" s="35"/>
      <c r="AE110" s="35"/>
      <c r="AF110" s="35"/>
      <c r="AG110" s="35"/>
      <c r="AH110" s="35"/>
      <c r="AI110" s="35"/>
    </row>
    <row r="111" spans="1:35" ht="25.5" customHeight="1" thickBot="1" x14ac:dyDescent="0.3">
      <c r="A111" s="33"/>
      <c r="B111" s="33"/>
      <c r="C111" s="911" t="s">
        <v>142</v>
      </c>
      <c r="D111" s="912"/>
      <c r="E111" s="912"/>
      <c r="F111" s="912"/>
      <c r="G111" s="912"/>
      <c r="H111" s="912"/>
      <c r="I111" s="912"/>
      <c r="J111" s="912"/>
      <c r="K111" s="912"/>
      <c r="L111" s="91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90"/>
      <c r="X111" s="891"/>
      <c r="Y111" s="891"/>
      <c r="Z111" s="892"/>
      <c r="AA111" s="900"/>
      <c r="AB111" s="900"/>
      <c r="AC111" s="901"/>
      <c r="AD111" s="35"/>
      <c r="AE111" s="35"/>
      <c r="AF111" s="35"/>
      <c r="AG111" s="35"/>
      <c r="AH111" s="35"/>
      <c r="AI111" s="35"/>
    </row>
    <row r="112" spans="1:35" ht="25.5" customHeight="1" x14ac:dyDescent="0.25">
      <c r="A112" s="33"/>
      <c r="B112" s="33"/>
      <c r="C112" s="824" t="s">
        <v>28</v>
      </c>
      <c r="D112" s="825"/>
      <c r="E112" s="825" t="s">
        <v>122</v>
      </c>
      <c r="F112" s="825"/>
      <c r="G112" s="828" t="s">
        <v>0</v>
      </c>
      <c r="H112" s="828" t="s">
        <v>1</v>
      </c>
      <c r="I112" s="828" t="s">
        <v>203</v>
      </c>
      <c r="J112" s="828" t="s">
        <v>204</v>
      </c>
      <c r="K112" s="828" t="s">
        <v>205</v>
      </c>
      <c r="L112" s="839" t="s">
        <v>206</v>
      </c>
      <c r="M112" s="863" t="s">
        <v>123</v>
      </c>
      <c r="N112" s="828" t="s">
        <v>124</v>
      </c>
      <c r="O112" s="828" t="s">
        <v>216</v>
      </c>
      <c r="P112" s="828" t="s">
        <v>217</v>
      </c>
      <c r="Q112" s="828" t="s">
        <v>218</v>
      </c>
      <c r="R112" s="828" t="s">
        <v>222</v>
      </c>
      <c r="S112" s="828" t="s">
        <v>220</v>
      </c>
      <c r="T112" s="839" t="s">
        <v>221</v>
      </c>
      <c r="U112" s="878" t="s">
        <v>219</v>
      </c>
      <c r="V112" s="110"/>
      <c r="W112" s="762" t="s">
        <v>125</v>
      </c>
      <c r="X112" s="763"/>
      <c r="Y112" s="763"/>
      <c r="Z112" s="763"/>
      <c r="AA112" s="872" t="str">
        <f>IF(G115="","",_xlfn.MODE.SNGL(G115:L118))</f>
        <v/>
      </c>
      <c r="AB112" s="872"/>
      <c r="AC112" s="873"/>
      <c r="AD112" s="35"/>
      <c r="AE112" s="35"/>
      <c r="AF112" s="35"/>
      <c r="AG112" s="35"/>
      <c r="AH112" s="35"/>
      <c r="AI112" s="35"/>
    </row>
    <row r="113" spans="1:35" ht="25.5" customHeight="1" thickBot="1" x14ac:dyDescent="0.3">
      <c r="A113" s="33"/>
      <c r="B113" s="33"/>
      <c r="C113" s="826"/>
      <c r="D113" s="827"/>
      <c r="E113" s="827"/>
      <c r="F113" s="827"/>
      <c r="G113" s="829"/>
      <c r="H113" s="829"/>
      <c r="I113" s="829"/>
      <c r="J113" s="829"/>
      <c r="K113" s="829"/>
      <c r="L113" s="840"/>
      <c r="M113" s="864"/>
      <c r="N113" s="829"/>
      <c r="O113" s="829"/>
      <c r="P113" s="829"/>
      <c r="Q113" s="829"/>
      <c r="R113" s="829"/>
      <c r="S113" s="829"/>
      <c r="T113" s="840"/>
      <c r="U113" s="879"/>
      <c r="V113" s="110"/>
      <c r="W113" s="880" t="s">
        <v>126</v>
      </c>
      <c r="X113" s="881"/>
      <c r="Y113" s="881"/>
      <c r="Z113" s="881"/>
      <c r="AA113" s="882" t="str">
        <f>IF(G115="","",MEDIAN(G115:L118))</f>
        <v/>
      </c>
      <c r="AB113" s="882"/>
      <c r="AC113" s="883"/>
      <c r="AD113" s="35"/>
      <c r="AE113" s="35"/>
      <c r="AF113" s="35"/>
      <c r="AG113" s="35"/>
      <c r="AH113" s="35"/>
      <c r="AI113" s="35"/>
    </row>
    <row r="114" spans="1:35" ht="25.5" customHeight="1" x14ac:dyDescent="0.25">
      <c r="A114" s="33"/>
      <c r="B114" s="33"/>
      <c r="C114" s="826"/>
      <c r="D114" s="827"/>
      <c r="E114" s="827"/>
      <c r="F114" s="827"/>
      <c r="G114" s="829"/>
      <c r="H114" s="829"/>
      <c r="I114" s="829"/>
      <c r="J114" s="829"/>
      <c r="K114" s="829"/>
      <c r="L114" s="840"/>
      <c r="M114" s="864"/>
      <c r="N114" s="829"/>
      <c r="O114" s="829"/>
      <c r="P114" s="829"/>
      <c r="Q114" s="829"/>
      <c r="R114" s="829"/>
      <c r="S114" s="829"/>
      <c r="T114" s="840"/>
      <c r="U114" s="879"/>
      <c r="V114" s="110"/>
      <c r="W114" s="884" t="s">
        <v>226</v>
      </c>
      <c r="X114" s="885"/>
      <c r="Y114" s="885"/>
      <c r="Z114" s="886"/>
      <c r="AA114" s="895" t="str">
        <f>IF(G115="","", IF(AND(OR(M115=$AB$8,M115=""),OR(M116=$AB$8,M116=""),OR(M117=$AB$8,M117=""),OR(M118=$AB$8,M118=""),OR(N115=$AB$8,N115=""),OR(N116=$AB$8,N116=""),OR(N117=$AB$8,N117=""),OR(N118=$AB$8,N118=""),OR(O115=$AB$8,O115=""),OR(O116=$AB$8,O116=""),OR(O117=$AB$8,O117=""),OR(O118=$AB$8,O118=""),OR(P115=$AB$8,P115=""),OR(P116=$AB$8,P116=""),OR(P117=$AB$8,P117=""),OR(P118=$AB$8,P118=""),OR(Q115=$AB$8,Q115=""),OR(Q116=$AB$8,Q116=""),OR(Q117=$AB$8,Q117=""),OR(Q118=$AB$8,Q118=""),OR(R115=$AB$8,R115=""),OR(R116=$AB$8,R116=""),OR(R117=$AB$8,R117=""),OR(R118=$AB$8,R118=""),OR(U115&lt;=$I$14,U115=""),OR(U116&lt;=$I$14,U116=""),OR(U117&lt;=$I$14,U117=""),OR(U118&lt;=$I$14,U118="")),$AB$7, $AB$6))</f>
        <v/>
      </c>
      <c r="AB114" s="895"/>
      <c r="AC114" s="896"/>
      <c r="AD114" s="35"/>
      <c r="AE114" s="35"/>
      <c r="AF114" s="35"/>
      <c r="AG114" s="35"/>
      <c r="AH114" s="35"/>
      <c r="AI114" s="35"/>
    </row>
    <row r="115" spans="1:35" ht="23.25" customHeight="1" x14ac:dyDescent="0.25">
      <c r="A115" s="33"/>
      <c r="B115" s="33"/>
      <c r="C115" s="746"/>
      <c r="D115" s="745"/>
      <c r="E115" s="745"/>
      <c r="F115" s="745"/>
      <c r="G115" s="184"/>
      <c r="H115" s="184"/>
      <c r="I115" s="2"/>
      <c r="J115" s="2"/>
      <c r="K115" s="2"/>
      <c r="L115" s="113"/>
      <c r="M115" s="56" t="str">
        <f t="shared" ref="M115:R115" si="49">IF(G115="","",IF(ABS(G115-$K$13)&gt;$I$14,"NOT OK", "OK"))</f>
        <v/>
      </c>
      <c r="N115" s="61" t="str">
        <f t="shared" si="49"/>
        <v/>
      </c>
      <c r="O115" s="61" t="str">
        <f t="shared" si="49"/>
        <v/>
      </c>
      <c r="P115" s="61" t="str">
        <f t="shared" si="49"/>
        <v/>
      </c>
      <c r="Q115" s="61" t="str">
        <f t="shared" si="49"/>
        <v/>
      </c>
      <c r="R115" s="61" t="str">
        <f t="shared" si="49"/>
        <v/>
      </c>
      <c r="S115" s="14" t="str">
        <f>IF(G115="","",MAX(G115:L115))</f>
        <v/>
      </c>
      <c r="T115" s="106" t="str">
        <f>IF(G115="","",MIN(G115:L115))</f>
        <v/>
      </c>
      <c r="U115" s="108" t="str">
        <f>IF(G115="","",ABS(S115-T115))</f>
        <v/>
      </c>
      <c r="V115" s="110"/>
      <c r="W115" s="887"/>
      <c r="X115" s="888"/>
      <c r="Y115" s="888"/>
      <c r="Z115" s="889"/>
      <c r="AA115" s="455"/>
      <c r="AB115" s="455"/>
      <c r="AC115" s="897"/>
      <c r="AD115" s="35"/>
      <c r="AE115" s="35"/>
      <c r="AF115" s="35"/>
      <c r="AG115" s="35"/>
      <c r="AH115" s="35"/>
      <c r="AI115" s="35"/>
    </row>
    <row r="116" spans="1:35" ht="15.75" customHeight="1" x14ac:dyDescent="0.25">
      <c r="A116" s="33"/>
      <c r="B116" s="33"/>
      <c r="C116" s="746"/>
      <c r="D116" s="745"/>
      <c r="E116" s="745"/>
      <c r="F116" s="745"/>
      <c r="G116" s="184"/>
      <c r="H116" s="184"/>
      <c r="I116" s="2"/>
      <c r="J116" s="2"/>
      <c r="K116" s="2"/>
      <c r="L116" s="113"/>
      <c r="M116" s="56" t="str">
        <f>IF(G116="","",IF(ABS(G116-$K$13)&gt;$I$14,"NOT OK", "OK"))</f>
        <v/>
      </c>
      <c r="N116" s="61" t="str">
        <f>IF(H116="","",IF(ABS(H116-$K$13)&gt;$I$14,"NOT OK", "OK"))</f>
        <v/>
      </c>
      <c r="O116" s="61" t="str">
        <f>IF(I116="","",IF(ABS(I116-$K$13)&gt;$I$14,"NOT OK", "OK"))</f>
        <v/>
      </c>
      <c r="P116" s="61" t="str">
        <f t="shared" ref="P116:P118" si="50">IF(J116="","",IF(ABS(J116-$K$13)&gt;$I$14,"NOT OK", "OK"))</f>
        <v/>
      </c>
      <c r="Q116" s="61" t="str">
        <f t="shared" ref="Q116:Q118" si="51">IF(K116="","",IF(ABS(K116-$K$13)&gt;$I$14,"NOT OK", "OK"))</f>
        <v/>
      </c>
      <c r="R116" s="61" t="str">
        <f t="shared" ref="R116:R118" si="52">IF(L116="","",IF(ABS(L116-$K$13)&gt;$I$14,"NOT OK", "OK"))</f>
        <v/>
      </c>
      <c r="S116" s="14" t="str">
        <f>IF(G116="","",MAX(G116:L116))</f>
        <v/>
      </c>
      <c r="T116" s="106" t="str">
        <f>IF(G116="","",MIN(G116:L116))</f>
        <v/>
      </c>
      <c r="U116" s="108" t="str">
        <f>IF(G116="","",ABS(S116-T116))</f>
        <v/>
      </c>
      <c r="V116" s="19"/>
      <c r="W116" s="887"/>
      <c r="X116" s="888"/>
      <c r="Y116" s="888"/>
      <c r="Z116" s="889"/>
      <c r="AA116" s="455"/>
      <c r="AB116" s="455"/>
      <c r="AC116" s="897"/>
      <c r="AD116" s="35"/>
      <c r="AE116" s="35"/>
      <c r="AF116" s="35"/>
      <c r="AG116" s="35"/>
      <c r="AH116" s="35"/>
      <c r="AI116" s="35"/>
    </row>
    <row r="117" spans="1:35" ht="15.75" customHeight="1" x14ac:dyDescent="0.25">
      <c r="A117" s="33"/>
      <c r="B117" s="33"/>
      <c r="C117" s="746"/>
      <c r="D117" s="745"/>
      <c r="E117" s="745"/>
      <c r="F117" s="745"/>
      <c r="G117" s="2"/>
      <c r="H117" s="2"/>
      <c r="I117" s="2"/>
      <c r="J117" s="2"/>
      <c r="K117" s="2"/>
      <c r="L117" s="113"/>
      <c r="M117" s="56" t="str">
        <f t="shared" ref="M117:M118" si="53">IF(G117="","",IF(ABS(G117-$K$13)&gt;$I$14,"NOT OK", "OK"))</f>
        <v/>
      </c>
      <c r="N117" s="61" t="str">
        <f t="shared" ref="N117:N118" si="54">IF(H117="","",IF(ABS(H117-$K$13)&gt;$I$14,"NOT OK", "OK"))</f>
        <v/>
      </c>
      <c r="O117" s="61" t="str">
        <f t="shared" ref="O117:O118" si="55">IF(I117="","",IF(ABS(I117-$K$13)&gt;$I$14,"NOT OK", "OK"))</f>
        <v/>
      </c>
      <c r="P117" s="61" t="str">
        <f t="shared" si="50"/>
        <v/>
      </c>
      <c r="Q117" s="61" t="str">
        <f t="shared" si="51"/>
        <v/>
      </c>
      <c r="R117" s="61" t="str">
        <f t="shared" si="52"/>
        <v/>
      </c>
      <c r="S117" s="14" t="str">
        <f t="shared" ref="S117:S118" si="56">IF(G117="","",MAX(G117:L117))</f>
        <v/>
      </c>
      <c r="T117" s="106" t="str">
        <f t="shared" ref="T117:T118" si="57">IF(G117="","",MIN(G117:L117))</f>
        <v/>
      </c>
      <c r="U117" s="108" t="str">
        <f t="shared" ref="U117:U118" si="58">IF(G117="","",ABS(S117-T117))</f>
        <v/>
      </c>
      <c r="V117" s="19"/>
      <c r="W117" s="887"/>
      <c r="X117" s="888"/>
      <c r="Y117" s="888"/>
      <c r="Z117" s="889"/>
      <c r="AA117" s="898"/>
      <c r="AB117" s="898"/>
      <c r="AC117" s="899"/>
      <c r="AD117" s="35"/>
      <c r="AE117" s="35"/>
      <c r="AF117" s="35"/>
      <c r="AG117" s="35"/>
      <c r="AH117" s="35"/>
      <c r="AI117" s="35"/>
    </row>
    <row r="118" spans="1:35" ht="16.5" customHeight="1" thickBot="1" x14ac:dyDescent="0.3">
      <c r="A118" s="33"/>
      <c r="B118" s="33"/>
      <c r="C118" s="805"/>
      <c r="D118" s="806"/>
      <c r="E118" s="806"/>
      <c r="F118" s="806"/>
      <c r="G118" s="58"/>
      <c r="H118" s="58"/>
      <c r="I118" s="58"/>
      <c r="J118" s="58"/>
      <c r="K118" s="58"/>
      <c r="L118" s="114"/>
      <c r="M118" s="59" t="str">
        <f t="shared" si="53"/>
        <v/>
      </c>
      <c r="N118" s="62" t="str">
        <f t="shared" si="54"/>
        <v/>
      </c>
      <c r="O118" s="62" t="str">
        <f t="shared" si="55"/>
        <v/>
      </c>
      <c r="P118" s="62" t="str">
        <f t="shared" si="50"/>
        <v/>
      </c>
      <c r="Q118" s="62" t="str">
        <f t="shared" si="51"/>
        <v/>
      </c>
      <c r="R118" s="62" t="str">
        <f t="shared" si="52"/>
        <v/>
      </c>
      <c r="S118" s="103" t="str">
        <f t="shared" si="56"/>
        <v/>
      </c>
      <c r="T118" s="107" t="str">
        <f t="shared" si="57"/>
        <v/>
      </c>
      <c r="U118" s="109" t="str">
        <f t="shared" si="58"/>
        <v/>
      </c>
      <c r="V118" s="19"/>
      <c r="W118" s="887"/>
      <c r="X118" s="888"/>
      <c r="Y118" s="888"/>
      <c r="Z118" s="889"/>
      <c r="AA118" s="898"/>
      <c r="AB118" s="898"/>
      <c r="AC118" s="899"/>
      <c r="AD118" s="35"/>
      <c r="AE118" s="35"/>
      <c r="AF118" s="35"/>
      <c r="AG118" s="35"/>
      <c r="AH118" s="35"/>
      <c r="AI118" s="35"/>
    </row>
    <row r="119" spans="1:35" ht="21.75" customHeight="1" thickBot="1" x14ac:dyDescent="0.4">
      <c r="A119" s="33"/>
      <c r="B119" s="33"/>
      <c r="C119" s="40"/>
      <c r="D119" s="40"/>
      <c r="E119" s="40"/>
      <c r="F119" s="40"/>
      <c r="G119" s="40"/>
      <c r="H119" s="8"/>
      <c r="I119" s="40"/>
      <c r="J119" s="40"/>
      <c r="K119" s="40"/>
      <c r="L119" s="40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890"/>
      <c r="X119" s="891"/>
      <c r="Y119" s="891"/>
      <c r="Z119" s="892"/>
      <c r="AA119" s="900"/>
      <c r="AB119" s="900"/>
      <c r="AC119" s="901"/>
    </row>
    <row r="120" spans="1:35" ht="15.75" x14ac:dyDescent="0.25">
      <c r="A120" s="33"/>
      <c r="C120" s="747" t="s">
        <v>143</v>
      </c>
      <c r="D120" s="748"/>
      <c r="E120" s="749"/>
      <c r="F120" s="764" t="s">
        <v>131</v>
      </c>
      <c r="G120" s="764"/>
      <c r="H120" s="765" t="str">
        <f>IF(G91="","",IF(ABS(AA88-H85)&gt;$I$14, "Les échantillons ne sont pas stables", "Les échantillons sont stables"))</f>
        <v/>
      </c>
      <c r="I120" s="765"/>
      <c r="J120" s="766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G120" t="s">
        <v>42</v>
      </c>
    </row>
    <row r="121" spans="1:35" ht="16.5" thickBot="1" x14ac:dyDescent="0.3">
      <c r="A121" s="33"/>
      <c r="C121" s="750"/>
      <c r="D121" s="751"/>
      <c r="E121" s="752"/>
      <c r="F121" s="767" t="s">
        <v>132</v>
      </c>
      <c r="G121" s="767"/>
      <c r="H121" s="768" t="str">
        <f>IF(G91="","",IF(ABS(AA89-H86)&gt;$I$14, "Les échantillons ne sont pas stables", "Les échantillons sont stables"))</f>
        <v/>
      </c>
      <c r="I121" s="768"/>
      <c r="J121" s="769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t="s">
        <v>41</v>
      </c>
      <c r="AH121" s="35"/>
      <c r="AI121" s="35"/>
    </row>
    <row r="122" spans="1:35" ht="15.75" x14ac:dyDescent="0.25">
      <c r="A122" s="33"/>
      <c r="C122" s="747" t="s">
        <v>144</v>
      </c>
      <c r="D122" s="748"/>
      <c r="E122" s="749"/>
      <c r="F122" s="764" t="s">
        <v>131</v>
      </c>
      <c r="G122" s="764"/>
      <c r="H122" s="765" t="str">
        <f>IF(G99="","",IF(ABS(AA96-H85)&gt;$I$14, "Les échantillons ne sont pas stables", "Les échantillons sont stables"))</f>
        <v/>
      </c>
      <c r="I122" s="765"/>
      <c r="J122" s="766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35" ht="16.5" thickBot="1" x14ac:dyDescent="0.3">
      <c r="A123" s="33"/>
      <c r="C123" s="750"/>
      <c r="D123" s="751"/>
      <c r="E123" s="752"/>
      <c r="F123" s="767" t="s">
        <v>132</v>
      </c>
      <c r="G123" s="767"/>
      <c r="H123" s="768" t="str">
        <f>IF(G99="","",IF(ABS(AA97-H86)&gt;$I$14, "Les échantillons ne sont pas stables", "Les échantillons sont stables"))</f>
        <v/>
      </c>
      <c r="I123" s="768"/>
      <c r="J123" s="769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35" ht="15.75" x14ac:dyDescent="0.25">
      <c r="A124" s="33"/>
      <c r="C124" s="747" t="s">
        <v>145</v>
      </c>
      <c r="D124" s="748"/>
      <c r="E124" s="749"/>
      <c r="F124" s="764" t="s">
        <v>131</v>
      </c>
      <c r="G124" s="764"/>
      <c r="H124" s="765" t="str">
        <f>IF(G107="","",IF(ABS(AA104-H85)&gt;$I$14, "Les échantillons ne sont pas stables", "Les échantillons sont stables"))</f>
        <v/>
      </c>
      <c r="I124" s="765"/>
      <c r="J124" s="766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35" ht="16.5" thickBot="1" x14ac:dyDescent="0.3">
      <c r="A125" s="33"/>
      <c r="C125" s="750"/>
      <c r="D125" s="751"/>
      <c r="E125" s="752"/>
      <c r="F125" s="767" t="s">
        <v>132</v>
      </c>
      <c r="G125" s="767"/>
      <c r="H125" s="768" t="str">
        <f>IF(G107="","",IF(ABS(AA105-H86)&gt;$I$14, "Les échantillons ne sont pas stables", "Les échantillons sont stables"))</f>
        <v/>
      </c>
      <c r="I125" s="768"/>
      <c r="J125" s="769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35" ht="15.75" x14ac:dyDescent="0.25">
      <c r="A126" s="33"/>
      <c r="C126" s="747" t="s">
        <v>230</v>
      </c>
      <c r="D126" s="748"/>
      <c r="E126" s="749"/>
      <c r="F126" s="764" t="s">
        <v>131</v>
      </c>
      <c r="G126" s="764"/>
      <c r="H126" s="765" t="str">
        <f>IF(G116="","",IF(ABS(AA112-H85)&gt;$I$14, "Les échantillons ne sont pas stables", "Les échantillons sont stables"))</f>
        <v/>
      </c>
      <c r="I126" s="765"/>
      <c r="J126" s="766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35" ht="16.5" thickBot="1" x14ac:dyDescent="0.3">
      <c r="A127" s="33"/>
      <c r="C127" s="753"/>
      <c r="D127" s="754"/>
      <c r="E127" s="755"/>
      <c r="F127" s="944" t="s">
        <v>132</v>
      </c>
      <c r="G127" s="944"/>
      <c r="H127" s="768" t="str">
        <f>IF(G116="","",IF(ABS(AA113-H86)&gt;$I$14, "Les échantillons ne sont pas stables", "Les échantillons sont stables"))</f>
        <v/>
      </c>
      <c r="I127" s="768"/>
      <c r="J127" s="769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35" ht="15.75" customHeight="1" x14ac:dyDescent="0.25">
      <c r="A128" s="33"/>
      <c r="C128" s="884" t="s">
        <v>146</v>
      </c>
      <c r="D128" s="885"/>
      <c r="E128" s="885"/>
      <c r="F128" s="886"/>
      <c r="G128" s="756" t="str">
        <f>IF(G91="","",IF($I$13=$AB$1,IF(OR(H120=AG120,H122=AG120,H124=AG120,H126=AG120),AG120,AG121),IF($I$13=$AB$2,IF(OR(H121=AG120,H123=AG120,H125=AG120,H127=AG120),AG120,AG121))))</f>
        <v/>
      </c>
      <c r="H128" s="756"/>
      <c r="I128" s="756"/>
      <c r="J128" s="757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spans="1:29" ht="43.5" customHeight="1" x14ac:dyDescent="0.25">
      <c r="A129" s="33"/>
      <c r="C129" s="887"/>
      <c r="D129" s="888"/>
      <c r="E129" s="888"/>
      <c r="F129" s="889"/>
      <c r="G129" s="758"/>
      <c r="H129" s="758"/>
      <c r="I129" s="758"/>
      <c r="J129" s="759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spans="1:29" ht="15.75" customHeight="1" x14ac:dyDescent="0.25">
      <c r="A130" s="33"/>
      <c r="C130" s="887"/>
      <c r="D130" s="888"/>
      <c r="E130" s="888"/>
      <c r="F130" s="889"/>
      <c r="G130" s="758"/>
      <c r="H130" s="758"/>
      <c r="I130" s="758"/>
      <c r="J130" s="759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spans="1:29" ht="16.5" customHeight="1" thickBot="1" x14ac:dyDescent="0.3">
      <c r="A131" s="33"/>
      <c r="B131" s="33"/>
      <c r="C131" s="890"/>
      <c r="D131" s="891"/>
      <c r="E131" s="891"/>
      <c r="F131" s="892"/>
      <c r="G131" s="760"/>
      <c r="H131" s="760"/>
      <c r="I131" s="760"/>
      <c r="J131" s="761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spans="1:29" ht="16.5" customHeight="1" thickBot="1" x14ac:dyDescent="0.3">
      <c r="A132" s="33"/>
      <c r="B132" s="33"/>
      <c r="C132" s="35"/>
      <c r="D132" s="35"/>
      <c r="E132" s="35"/>
      <c r="F132" s="35"/>
      <c r="G132" s="35"/>
      <c r="H132" s="35"/>
      <c r="I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spans="1:29" ht="22.5" customHeight="1" thickBot="1" x14ac:dyDescent="0.3">
      <c r="A133" s="33"/>
      <c r="C133" s="372" t="s">
        <v>147</v>
      </c>
      <c r="D133" s="373"/>
      <c r="E133" s="373"/>
      <c r="F133" s="373"/>
      <c r="G133" s="373"/>
      <c r="H133" s="373"/>
      <c r="I133" s="373"/>
      <c r="J133" s="373"/>
      <c r="K133" s="373"/>
      <c r="L133" s="373"/>
      <c r="M133" s="373"/>
      <c r="N133" s="373"/>
      <c r="O133" s="373"/>
      <c r="P133" s="373"/>
      <c r="Q133" s="373"/>
      <c r="R133" s="373"/>
      <c r="S133" s="373"/>
      <c r="T133" s="373"/>
      <c r="U133" s="374"/>
      <c r="V133" s="34"/>
      <c r="W133" s="35"/>
      <c r="X133" s="35"/>
      <c r="Y133" s="35"/>
    </row>
    <row r="134" spans="1:29" ht="15.75" thickBot="1" x14ac:dyDescent="0.3">
      <c r="A134" s="33"/>
      <c r="B134" s="33"/>
    </row>
    <row r="135" spans="1:29" ht="22.5" customHeight="1" x14ac:dyDescent="0.25">
      <c r="A135" s="33"/>
      <c r="B135" s="33"/>
      <c r="C135" s="950" t="s">
        <v>32</v>
      </c>
      <c r="D135" s="951"/>
      <c r="E135" s="951"/>
      <c r="F135" s="934"/>
      <c r="G135" s="934"/>
      <c r="H135" s="952"/>
      <c r="I135" s="40"/>
      <c r="J135" s="40"/>
      <c r="K135" s="40"/>
      <c r="L135" s="40"/>
      <c r="M135" s="35"/>
      <c r="N135" s="35"/>
      <c r="O135" s="35"/>
      <c r="P135" s="35"/>
      <c r="Q135" s="35"/>
      <c r="R135" s="35"/>
      <c r="S135" s="35"/>
      <c r="T135" s="35"/>
      <c r="U135" s="35"/>
      <c r="V135" s="35"/>
    </row>
    <row r="136" spans="1:29" ht="32.25" customHeight="1" x14ac:dyDescent="0.25">
      <c r="A136" s="33"/>
      <c r="B136" s="33"/>
      <c r="C136" s="945" t="s">
        <v>138</v>
      </c>
      <c r="D136" s="946"/>
      <c r="E136" s="946"/>
      <c r="F136" s="865"/>
      <c r="G136" s="865"/>
      <c r="H136" s="947"/>
      <c r="I136" s="40"/>
      <c r="J136" s="40"/>
      <c r="K136" s="40"/>
      <c r="L136" s="40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spans="1:29" ht="22.5" customHeight="1" x14ac:dyDescent="0.25">
      <c r="A137" s="33"/>
      <c r="B137" s="33"/>
      <c r="C137" s="945" t="s">
        <v>231</v>
      </c>
      <c r="D137" s="946"/>
      <c r="E137" s="946"/>
      <c r="F137" s="837" t="str">
        <f>IF(G150="","",COUNT(G150:G153))</f>
        <v/>
      </c>
      <c r="G137" s="837"/>
      <c r="H137" s="838"/>
      <c r="I137" s="40"/>
      <c r="J137" s="40"/>
      <c r="K137" s="40"/>
      <c r="L137" s="40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spans="1:29" ht="25.5" customHeight="1" thickBot="1" x14ac:dyDescent="0.3">
      <c r="A138" s="33"/>
      <c r="B138" s="33"/>
      <c r="C138" s="948" t="s">
        <v>16</v>
      </c>
      <c r="D138" s="949"/>
      <c r="E138" s="949"/>
      <c r="F138" s="822" t="str">
        <f>IF(G150="","",COUNT(G150:L150))</f>
        <v/>
      </c>
      <c r="G138" s="822"/>
      <c r="H138" s="823"/>
      <c r="I138" s="40"/>
      <c r="J138" s="40"/>
      <c r="K138" s="40"/>
      <c r="L138" s="40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spans="1:29" ht="25.5" customHeight="1" x14ac:dyDescent="0.25">
      <c r="A139" s="33"/>
      <c r="B139" s="33"/>
      <c r="C139" s="807" t="s">
        <v>148</v>
      </c>
      <c r="D139" s="808"/>
      <c r="E139" s="808"/>
      <c r="F139" s="845"/>
      <c r="G139" s="845"/>
      <c r="H139" s="845"/>
      <c r="I139" s="845"/>
      <c r="J139" s="845"/>
      <c r="K139" s="845"/>
      <c r="L139" s="845"/>
      <c r="M139" s="845"/>
      <c r="N139" s="846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spans="1:29" ht="25.5" customHeight="1" x14ac:dyDescent="0.25">
      <c r="A140" s="33"/>
      <c r="B140" s="33"/>
      <c r="C140" s="809"/>
      <c r="D140" s="810"/>
      <c r="E140" s="810"/>
      <c r="F140" s="847"/>
      <c r="G140" s="847"/>
      <c r="H140" s="847"/>
      <c r="I140" s="847"/>
      <c r="J140" s="847"/>
      <c r="K140" s="847"/>
      <c r="L140" s="847"/>
      <c r="M140" s="847"/>
      <c r="N140" s="848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spans="1:29" ht="25.5" customHeight="1" thickBot="1" x14ac:dyDescent="0.3">
      <c r="A141" s="33"/>
      <c r="B141" s="33"/>
      <c r="C141" s="811"/>
      <c r="D141" s="812"/>
      <c r="E141" s="812"/>
      <c r="F141" s="849"/>
      <c r="G141" s="849"/>
      <c r="H141" s="849"/>
      <c r="I141" s="849"/>
      <c r="J141" s="849"/>
      <c r="K141" s="849"/>
      <c r="L141" s="849"/>
      <c r="M141" s="849"/>
      <c r="N141" s="850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spans="1:29" ht="25.5" customHeight="1" thickBot="1" x14ac:dyDescent="0.3">
      <c r="A142" s="33"/>
      <c r="B142" s="33"/>
      <c r="C142" s="112"/>
      <c r="D142" s="112"/>
      <c r="E142" s="112"/>
      <c r="F142" s="111"/>
      <c r="G142" s="111"/>
      <c r="H142" s="111"/>
      <c r="I142" s="111"/>
      <c r="J142" s="111"/>
      <c r="K142" s="111"/>
      <c r="L142" s="111"/>
      <c r="M142" s="111"/>
      <c r="N142" s="111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spans="1:29" ht="25.5" customHeight="1" thickBot="1" x14ac:dyDescent="0.3">
      <c r="A143" s="33"/>
      <c r="B143" s="33"/>
      <c r="C143" s="851" t="s">
        <v>223</v>
      </c>
      <c r="D143" s="852"/>
      <c r="E143" s="852"/>
      <c r="F143" s="852"/>
      <c r="G143" s="852"/>
      <c r="H143" s="852"/>
      <c r="I143" s="852"/>
      <c r="J143" s="852"/>
      <c r="K143" s="852"/>
      <c r="L143" s="853"/>
      <c r="M143" s="83"/>
      <c r="N143" s="83"/>
      <c r="O143" s="83"/>
      <c r="P143" s="83"/>
      <c r="Q143" s="83"/>
      <c r="R143" s="83"/>
      <c r="S143" s="83"/>
      <c r="T143" s="83"/>
      <c r="U143" s="83"/>
      <c r="V143" s="40"/>
      <c r="W143" s="35"/>
      <c r="X143" s="35"/>
      <c r="Y143" s="35"/>
    </row>
    <row r="144" spans="1:29" ht="25.5" customHeight="1" x14ac:dyDescent="0.25">
      <c r="A144" s="33"/>
      <c r="B144" s="33"/>
      <c r="C144" s="854" t="s">
        <v>224</v>
      </c>
      <c r="D144" s="855"/>
      <c r="E144" s="855"/>
      <c r="F144" s="855"/>
      <c r="G144" s="855"/>
      <c r="H144" s="661" t="str">
        <f>IF(C25="","",G36)</f>
        <v/>
      </c>
      <c r="I144" s="661"/>
      <c r="J144" s="661"/>
      <c r="K144" s="661"/>
      <c r="L144" s="856"/>
      <c r="M144" s="17"/>
      <c r="N144" s="17"/>
      <c r="O144" s="17"/>
      <c r="P144" s="17"/>
      <c r="Q144" s="17"/>
      <c r="R144" s="17"/>
      <c r="S144" s="17"/>
      <c r="T144" s="17"/>
      <c r="U144" s="17"/>
      <c r="V144" s="40"/>
      <c r="W144" s="35"/>
      <c r="X144" s="35"/>
      <c r="Y144" s="35"/>
      <c r="Z144" s="35"/>
      <c r="AA144" s="35"/>
      <c r="AB144" s="35"/>
      <c r="AC144" s="35"/>
    </row>
    <row r="145" spans="1:35" ht="25.5" customHeight="1" thickBot="1" x14ac:dyDescent="0.3">
      <c r="A145" s="33"/>
      <c r="B145" s="33"/>
      <c r="C145" s="857" t="s">
        <v>225</v>
      </c>
      <c r="D145" s="858"/>
      <c r="E145" s="858"/>
      <c r="F145" s="858"/>
      <c r="G145" s="858"/>
      <c r="H145" s="660" t="str">
        <f>IF(C25="","",G37)</f>
        <v/>
      </c>
      <c r="I145" s="660"/>
      <c r="J145" s="660"/>
      <c r="K145" s="660"/>
      <c r="L145" s="859"/>
      <c r="M145" s="17"/>
      <c r="N145" s="17"/>
      <c r="O145" s="17"/>
      <c r="P145" s="17"/>
      <c r="Q145" s="17"/>
      <c r="R145" s="17"/>
      <c r="S145" s="17"/>
      <c r="T145" s="17"/>
      <c r="U145" s="17"/>
      <c r="V145" s="40"/>
      <c r="W145" s="35"/>
      <c r="X145" s="35"/>
      <c r="Y145" s="35"/>
      <c r="Z145" s="35"/>
      <c r="AA145" s="35"/>
      <c r="AB145" s="35"/>
      <c r="AC145" s="35"/>
    </row>
    <row r="146" spans="1:35" ht="25.5" customHeight="1" thickBot="1" x14ac:dyDescent="0.3">
      <c r="A146" s="33"/>
      <c r="B146" s="33"/>
      <c r="C146" s="860" t="s">
        <v>232</v>
      </c>
      <c r="D146" s="861"/>
      <c r="E146" s="861"/>
      <c r="F146" s="861"/>
      <c r="G146" s="861"/>
      <c r="H146" s="861"/>
      <c r="I146" s="861"/>
      <c r="J146" s="861"/>
      <c r="K146" s="861"/>
      <c r="L146" s="862"/>
      <c r="M146" s="83"/>
      <c r="N146" s="83"/>
      <c r="O146" s="83"/>
      <c r="P146" s="83"/>
      <c r="Q146" s="83"/>
      <c r="R146" s="83"/>
      <c r="S146" s="83"/>
      <c r="T146" s="83"/>
      <c r="U146" s="83"/>
      <c r="V146" s="40"/>
      <c r="W146" s="35"/>
      <c r="X146" s="35"/>
      <c r="Y146" s="35"/>
      <c r="Z146" s="35"/>
      <c r="AA146" s="35"/>
      <c r="AB146" s="35"/>
      <c r="AC146" s="35"/>
    </row>
    <row r="147" spans="1:35" ht="25.5" customHeight="1" x14ac:dyDescent="0.25">
      <c r="A147" s="33"/>
      <c r="B147" s="33"/>
      <c r="C147" s="824" t="s">
        <v>28</v>
      </c>
      <c r="D147" s="825"/>
      <c r="E147" s="825" t="s">
        <v>122</v>
      </c>
      <c r="F147" s="825"/>
      <c r="G147" s="828" t="s">
        <v>0</v>
      </c>
      <c r="H147" s="828" t="s">
        <v>1</v>
      </c>
      <c r="I147" s="828" t="s">
        <v>203</v>
      </c>
      <c r="J147" s="828" t="s">
        <v>204</v>
      </c>
      <c r="K147" s="828" t="s">
        <v>205</v>
      </c>
      <c r="L147" s="839" t="s">
        <v>206</v>
      </c>
      <c r="M147" s="863" t="s">
        <v>123</v>
      </c>
      <c r="N147" s="828" t="s">
        <v>124</v>
      </c>
      <c r="O147" s="828" t="s">
        <v>216</v>
      </c>
      <c r="P147" s="828" t="s">
        <v>217</v>
      </c>
      <c r="Q147" s="828" t="s">
        <v>218</v>
      </c>
      <c r="R147" s="874" t="s">
        <v>222</v>
      </c>
      <c r="S147" s="876" t="s">
        <v>220</v>
      </c>
      <c r="T147" s="839" t="s">
        <v>221</v>
      </c>
      <c r="U147" s="878" t="s">
        <v>219</v>
      </c>
      <c r="V147" s="40"/>
      <c r="W147" s="762" t="s">
        <v>125</v>
      </c>
      <c r="X147" s="763"/>
      <c r="Y147" s="763"/>
      <c r="Z147" s="763"/>
      <c r="AA147" s="872" t="str">
        <f>IF(G150="","",_xlfn.MODE.SNGL(G150:L153))</f>
        <v/>
      </c>
      <c r="AB147" s="872"/>
      <c r="AC147" s="873"/>
    </row>
    <row r="148" spans="1:35" ht="25.5" customHeight="1" thickBot="1" x14ac:dyDescent="0.3">
      <c r="A148" s="33"/>
      <c r="B148" s="33"/>
      <c r="C148" s="826"/>
      <c r="D148" s="827"/>
      <c r="E148" s="827"/>
      <c r="F148" s="827"/>
      <c r="G148" s="829"/>
      <c r="H148" s="829"/>
      <c r="I148" s="829"/>
      <c r="J148" s="829"/>
      <c r="K148" s="829"/>
      <c r="L148" s="840"/>
      <c r="M148" s="864"/>
      <c r="N148" s="829"/>
      <c r="O148" s="829"/>
      <c r="P148" s="829"/>
      <c r="Q148" s="829"/>
      <c r="R148" s="875"/>
      <c r="S148" s="877"/>
      <c r="T148" s="840"/>
      <c r="U148" s="879"/>
      <c r="V148" s="40"/>
      <c r="W148" s="880" t="s">
        <v>126</v>
      </c>
      <c r="X148" s="881"/>
      <c r="Y148" s="881"/>
      <c r="Z148" s="881"/>
      <c r="AA148" s="882" t="str">
        <f>IF(G150="","",MEDIAN(G150:L153))</f>
        <v/>
      </c>
      <c r="AB148" s="882"/>
      <c r="AC148" s="883"/>
    </row>
    <row r="149" spans="1:35" ht="25.5" customHeight="1" x14ac:dyDescent="0.25">
      <c r="A149" s="33"/>
      <c r="B149" s="33"/>
      <c r="C149" s="826"/>
      <c r="D149" s="827"/>
      <c r="E149" s="827"/>
      <c r="F149" s="827"/>
      <c r="G149" s="829"/>
      <c r="H149" s="829"/>
      <c r="I149" s="829"/>
      <c r="J149" s="829"/>
      <c r="K149" s="829"/>
      <c r="L149" s="840"/>
      <c r="M149" s="864"/>
      <c r="N149" s="829"/>
      <c r="O149" s="829"/>
      <c r="P149" s="829"/>
      <c r="Q149" s="829"/>
      <c r="R149" s="875"/>
      <c r="S149" s="877"/>
      <c r="T149" s="840"/>
      <c r="U149" s="879"/>
      <c r="V149" s="40"/>
      <c r="W149" s="884" t="s">
        <v>130</v>
      </c>
      <c r="X149" s="885"/>
      <c r="Y149" s="885"/>
      <c r="Z149" s="886"/>
      <c r="AA149" s="756" t="str">
        <f>IF(G150="","", IF(AND(OR(M150=$AB$8,M150=""),OR(M151=$AB$8,M151=""),OR(M152=$AB$8,M152=""),OR(M153=$AB$8,M153=""),OR(N150=$AB$8,N150=""),OR(N151=$AB$8,N151=""),OR(N152=$AB$8,N152=""),OR(N153=$AB$8,N153=""),OR(O150=$AB$8,O150=""),OR(O151=$AB$8,O151=""),OR(O152=$AB$8,O152=""),OR(O153=$AB$8,O153=""),OR(P150=$AB$8,P150=""),OR(P151=$AB$8,P151=""),OR(P152=$AB$8,P152=""),OR(P153=$AB$8,P153=""),OR(Q150=$AB$8,Q150=""),OR(Q151=$AB$8,Q151=""),OR(Q152=$AB$8,Q152=""),OR(Q153=$AB$8,Q153=""),OR(R150=$AB$8,R150=""),OR(R151=$AB$8,R151=""),OR(R152=$AB$8,R152=""),OR(R153=$AB$8,R153=""),OR(U150&lt;=$I$14,U150=""),OR(U151&lt;=$I$14,U151=""),OR(U152&lt;=$I$14,U152=""),OR(U153&lt;=$I$14,U153="")),$AB$7, $AB$6))</f>
        <v/>
      </c>
      <c r="AB149" s="756"/>
      <c r="AC149" s="757"/>
    </row>
    <row r="150" spans="1:35" ht="25.5" customHeight="1" x14ac:dyDescent="0.25">
      <c r="A150" s="33"/>
      <c r="B150" s="33"/>
      <c r="C150" s="746"/>
      <c r="D150" s="745"/>
      <c r="E150" s="745"/>
      <c r="F150" s="745"/>
      <c r="G150" s="184"/>
      <c r="H150" s="184"/>
      <c r="I150" s="2"/>
      <c r="J150" s="2"/>
      <c r="K150" s="2"/>
      <c r="L150" s="113"/>
      <c r="M150" s="56" t="str">
        <f>IF(G150="","",IF(ABS(G150-$K$13)&gt;$I$14,"NOT OK", "OK"))</f>
        <v/>
      </c>
      <c r="N150" s="61" t="str">
        <f t="shared" ref="N150:Q150" si="59">IF(H150="","",IF(ABS(H150-$K$13)&gt;$I$14,"NOT OK", "OK"))</f>
        <v/>
      </c>
      <c r="O150" s="61" t="str">
        <f t="shared" si="59"/>
        <v/>
      </c>
      <c r="P150" s="61" t="str">
        <f t="shared" si="59"/>
        <v/>
      </c>
      <c r="Q150" s="61" t="str">
        <f t="shared" si="59"/>
        <v/>
      </c>
      <c r="R150" s="57" t="str">
        <f>IF(L150="","",IF(ABS(L150-$K$13)&gt;$I$14,"NOT OK", "OK"))</f>
        <v/>
      </c>
      <c r="S150" s="104" t="str">
        <f>IF(G150="","",MAX(G150:L150))</f>
        <v/>
      </c>
      <c r="T150" s="106" t="str">
        <f>IF(G150="","",MIN(G150:L150))</f>
        <v/>
      </c>
      <c r="U150" s="108" t="str">
        <f>IF(G150="","",ABS(S150-T150))</f>
        <v/>
      </c>
      <c r="V150" s="40"/>
      <c r="W150" s="887"/>
      <c r="X150" s="888"/>
      <c r="Y150" s="888"/>
      <c r="Z150" s="889"/>
      <c r="AA150" s="758"/>
      <c r="AB150" s="758"/>
      <c r="AC150" s="759"/>
    </row>
    <row r="151" spans="1:35" ht="25.5" customHeight="1" x14ac:dyDescent="0.25">
      <c r="A151" s="33"/>
      <c r="B151" s="33"/>
      <c r="C151" s="746"/>
      <c r="D151" s="745"/>
      <c r="E151" s="745"/>
      <c r="F151" s="745"/>
      <c r="G151" s="184"/>
      <c r="H151" s="184"/>
      <c r="I151" s="2"/>
      <c r="J151" s="2"/>
      <c r="K151" s="2"/>
      <c r="L151" s="113"/>
      <c r="M151" s="56" t="str">
        <f>IF(G151="","",IF(ABS(G151-$K$13)&gt;$I$14,"NOT OK", "OK"))</f>
        <v/>
      </c>
      <c r="N151" s="61" t="str">
        <f t="shared" ref="N151:Q153" si="60">IF(H151="","",IF(ABS(H151-$K$13)&gt;$I$14,"NOT OK", "OK"))</f>
        <v/>
      </c>
      <c r="O151" s="61" t="str">
        <f t="shared" si="60"/>
        <v/>
      </c>
      <c r="P151" s="61" t="str">
        <f t="shared" si="60"/>
        <v/>
      </c>
      <c r="Q151" s="61" t="str">
        <f t="shared" si="60"/>
        <v/>
      </c>
      <c r="R151" s="57" t="str">
        <f t="shared" ref="R151" si="61">IF(L151="","",IF(ABS(L151-$K$13)&gt;$I$14,"NOT OK", "OK"))</f>
        <v/>
      </c>
      <c r="S151" s="104" t="str">
        <f>IF(G151="","",MAX(G151:L151))</f>
        <v/>
      </c>
      <c r="T151" s="106" t="str">
        <f>IF(G151="","",MIN(G151:L151))</f>
        <v/>
      </c>
      <c r="U151" s="108" t="str">
        <f>IF(G151="","",ABS(S151-T151))</f>
        <v/>
      </c>
      <c r="V151" s="40"/>
      <c r="W151" s="887"/>
      <c r="X151" s="888"/>
      <c r="Y151" s="888"/>
      <c r="Z151" s="889"/>
      <c r="AA151" s="758"/>
      <c r="AB151" s="758"/>
      <c r="AC151" s="759"/>
    </row>
    <row r="152" spans="1:35" ht="25.5" customHeight="1" x14ac:dyDescent="0.25">
      <c r="A152" s="33"/>
      <c r="B152" s="33"/>
      <c r="C152" s="746"/>
      <c r="D152" s="745"/>
      <c r="E152" s="745"/>
      <c r="F152" s="745"/>
      <c r="G152" s="2"/>
      <c r="H152" s="2"/>
      <c r="I152" s="2"/>
      <c r="J152" s="2"/>
      <c r="K152" s="2"/>
      <c r="L152" s="113"/>
      <c r="M152" s="56" t="str">
        <f>IF(G152="","",IF(ABS(G152-$K$13)&gt;$I$14,"NOT OK", "OK"))</f>
        <v/>
      </c>
      <c r="N152" s="61" t="str">
        <f t="shared" si="60"/>
        <v/>
      </c>
      <c r="O152" s="61" t="str">
        <f t="shared" si="60"/>
        <v/>
      </c>
      <c r="P152" s="61" t="str">
        <f t="shared" si="60"/>
        <v/>
      </c>
      <c r="Q152" s="61" t="str">
        <f t="shared" si="60"/>
        <v/>
      </c>
      <c r="R152" s="57" t="str">
        <f>IF(L152="","",IF(ABS(L152-$K$13)&gt;$I$14,"NOT OK", "OK"))</f>
        <v/>
      </c>
      <c r="S152" s="104" t="str">
        <f>IF(G152="","",MAX(G152:L152))</f>
        <v/>
      </c>
      <c r="T152" s="106" t="str">
        <f>IF(G152="","",MIN(G152:L152))</f>
        <v/>
      </c>
      <c r="U152" s="108" t="str">
        <f>IF(G152="","",ABS(S152-T152))</f>
        <v/>
      </c>
      <c r="V152" s="40"/>
      <c r="W152" s="887"/>
      <c r="X152" s="888"/>
      <c r="Y152" s="888"/>
      <c r="Z152" s="889"/>
      <c r="AA152" s="893"/>
      <c r="AB152" s="893"/>
      <c r="AC152" s="894"/>
    </row>
    <row r="153" spans="1:35" ht="25.5" customHeight="1" thickBot="1" x14ac:dyDescent="0.3">
      <c r="A153" s="33"/>
      <c r="B153" s="33"/>
      <c r="C153" s="805"/>
      <c r="D153" s="806"/>
      <c r="E153" s="806"/>
      <c r="F153" s="806"/>
      <c r="G153" s="58"/>
      <c r="H153" s="58"/>
      <c r="I153" s="58"/>
      <c r="J153" s="58"/>
      <c r="K153" s="58"/>
      <c r="L153" s="114"/>
      <c r="M153" s="59" t="str">
        <f>IF(G153="","",IF(ABS(G153-$K$13)&gt;$I$14,"NOT OK", "OK"))</f>
        <v/>
      </c>
      <c r="N153" s="62" t="str">
        <f t="shared" si="60"/>
        <v/>
      </c>
      <c r="O153" s="62" t="str">
        <f t="shared" si="60"/>
        <v/>
      </c>
      <c r="P153" s="62" t="str">
        <f t="shared" si="60"/>
        <v/>
      </c>
      <c r="Q153" s="62" t="str">
        <f t="shared" si="60"/>
        <v/>
      </c>
      <c r="R153" s="60" t="str">
        <f t="shared" ref="R153" si="62">IF(L153="","",IF(ABS(L153-$K$13)&gt;$I$14,"NOT OK", "OK"))</f>
        <v/>
      </c>
      <c r="S153" s="105" t="str">
        <f>IF(G153="","",MAX(G153:L153))</f>
        <v/>
      </c>
      <c r="T153" s="107" t="str">
        <f>IF(G153="","",MIN(G153:L153))</f>
        <v/>
      </c>
      <c r="U153" s="109" t="str">
        <f>IF(G153="","",ABS(S153-T153))</f>
        <v/>
      </c>
      <c r="V153" s="40"/>
      <c r="W153" s="887"/>
      <c r="X153" s="888"/>
      <c r="Y153" s="888"/>
      <c r="Z153" s="889"/>
      <c r="AA153" s="893"/>
      <c r="AB153" s="893"/>
      <c r="AC153" s="894"/>
    </row>
    <row r="154" spans="1:35" ht="25.5" customHeight="1" thickBot="1" x14ac:dyDescent="0.4">
      <c r="A154" s="33"/>
      <c r="B154" s="33"/>
      <c r="C154" s="40"/>
      <c r="D154" s="40"/>
      <c r="E154" s="40"/>
      <c r="F154" s="40"/>
      <c r="G154" s="40"/>
      <c r="H154" s="8"/>
      <c r="I154" s="40"/>
      <c r="J154" s="40"/>
      <c r="K154" s="40"/>
      <c r="L154" s="40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890"/>
      <c r="X154" s="891"/>
      <c r="Y154" s="891"/>
      <c r="Z154" s="892"/>
      <c r="AA154" s="760"/>
      <c r="AB154" s="760"/>
      <c r="AC154" s="761"/>
    </row>
    <row r="155" spans="1:35" ht="30" customHeight="1" x14ac:dyDescent="0.25">
      <c r="A155" s="33"/>
      <c r="C155" s="957" t="s">
        <v>149</v>
      </c>
      <c r="D155" s="958"/>
      <c r="E155" s="764" t="s">
        <v>131</v>
      </c>
      <c r="F155" s="764"/>
      <c r="G155" s="765" t="str">
        <f>IF(G150="","",IF(ABS(AA147-H144)&gt;$I$14, "Les échantillons ne sont pas stables", "Les échantillons sont stables"))</f>
        <v/>
      </c>
      <c r="H155" s="765"/>
      <c r="I155" s="766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spans="1:35" ht="36.75" customHeight="1" thickBot="1" x14ac:dyDescent="0.3">
      <c r="A156" s="33"/>
      <c r="C156" s="959"/>
      <c r="D156" s="960"/>
      <c r="E156" s="767" t="s">
        <v>132</v>
      </c>
      <c r="F156" s="767"/>
      <c r="G156" s="961" t="str">
        <f>IF(G150="","",IF(ABS(AA148-H145)&gt;$I$14, "Les échantillons ne sont pas stables", "Les échantillons sont stables"))</f>
        <v/>
      </c>
      <c r="H156" s="961"/>
      <c r="I156" s="962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H156" s="35"/>
      <c r="AI156" s="35"/>
    </row>
    <row r="157" spans="1:35" ht="27" customHeight="1" x14ac:dyDescent="0.25">
      <c r="A157" s="33"/>
      <c r="C157" s="887" t="s">
        <v>150</v>
      </c>
      <c r="D157" s="888"/>
      <c r="E157" s="888"/>
      <c r="F157" s="889"/>
      <c r="G157" s="925" t="str">
        <f>IF(G150="","",IF($I$13=$AB$1,G155,IF($I$13=$AB$2,G156)))</f>
        <v/>
      </c>
      <c r="H157" s="926"/>
      <c r="I157" s="927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spans="1:35" ht="30" customHeight="1" x14ac:dyDescent="0.25">
      <c r="A158" s="33"/>
      <c r="C158" s="887"/>
      <c r="D158" s="888"/>
      <c r="E158" s="888"/>
      <c r="F158" s="889"/>
      <c r="G158" s="928"/>
      <c r="H158" s="929"/>
      <c r="I158" s="930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spans="1:35" ht="21.75" customHeight="1" x14ac:dyDescent="0.25">
      <c r="A159" s="33"/>
      <c r="C159" s="887"/>
      <c r="D159" s="888"/>
      <c r="E159" s="888"/>
      <c r="F159" s="889"/>
      <c r="G159" s="928"/>
      <c r="H159" s="929"/>
      <c r="I159" s="930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spans="1:35" ht="22.5" customHeight="1" thickBot="1" x14ac:dyDescent="0.3">
      <c r="A160" s="33"/>
      <c r="B160" s="33"/>
      <c r="C160" s="890"/>
      <c r="D160" s="891"/>
      <c r="E160" s="891"/>
      <c r="F160" s="892"/>
      <c r="G160" s="931"/>
      <c r="H160" s="932"/>
      <c r="I160" s="933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spans="1:25" ht="16.5" customHeight="1" thickBot="1" x14ac:dyDescent="0.3">
      <c r="A161" s="33"/>
      <c r="B161" s="33"/>
      <c r="C161" s="63"/>
      <c r="D161" s="63"/>
      <c r="E161" s="63"/>
      <c r="F161" s="63"/>
      <c r="G161" s="63"/>
      <c r="H161" s="63"/>
      <c r="I161" s="63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spans="1:25" ht="39" customHeight="1" thickBot="1" x14ac:dyDescent="0.3">
      <c r="A162" s="33"/>
      <c r="B162" s="64"/>
      <c r="C162" s="448" t="s">
        <v>151</v>
      </c>
      <c r="D162" s="449"/>
      <c r="E162" s="449"/>
      <c r="F162" s="449"/>
      <c r="G162" s="449"/>
      <c r="H162" s="449"/>
      <c r="I162" s="449"/>
      <c r="J162" s="449"/>
      <c r="K162" s="449"/>
      <c r="L162" s="449"/>
      <c r="M162" s="449"/>
      <c r="N162" s="449"/>
      <c r="O162" s="449"/>
      <c r="P162" s="449"/>
      <c r="Q162" s="449"/>
      <c r="R162" s="449"/>
      <c r="S162" s="449"/>
      <c r="T162" s="449"/>
      <c r="U162" s="450"/>
      <c r="V162" s="34"/>
      <c r="W162" s="35"/>
      <c r="X162" s="35"/>
      <c r="Y162" s="35"/>
    </row>
    <row r="163" spans="1:25" ht="15.75" thickBot="1" x14ac:dyDescent="0.3">
      <c r="A163" s="33"/>
      <c r="B163" s="33"/>
    </row>
    <row r="164" spans="1:25" ht="22.5" customHeight="1" x14ac:dyDescent="0.25">
      <c r="A164" s="33"/>
      <c r="B164" s="33"/>
      <c r="C164" s="953" t="s">
        <v>127</v>
      </c>
      <c r="D164" s="954"/>
      <c r="E164" s="954"/>
      <c r="F164" s="954"/>
      <c r="G164" s="954"/>
      <c r="H164" s="954"/>
      <c r="I164" s="954"/>
      <c r="J164" s="954"/>
      <c r="K164" s="955" t="str">
        <f>G38</f>
        <v/>
      </c>
      <c r="L164" s="955"/>
      <c r="M164" s="955"/>
      <c r="N164" s="955"/>
      <c r="O164" s="955"/>
      <c r="P164" s="955"/>
      <c r="Q164" s="955"/>
      <c r="R164" s="955"/>
      <c r="S164" s="955"/>
      <c r="T164" s="955"/>
      <c r="U164" s="956"/>
    </row>
    <row r="165" spans="1:25" ht="24" customHeight="1" x14ac:dyDescent="0.25">
      <c r="A165" s="33"/>
      <c r="B165" s="33"/>
      <c r="C165" s="770" t="s">
        <v>133</v>
      </c>
      <c r="D165" s="771"/>
      <c r="E165" s="771"/>
      <c r="F165" s="771"/>
      <c r="G165" s="771"/>
      <c r="H165" s="771"/>
      <c r="I165" s="771"/>
      <c r="J165" s="771"/>
      <c r="K165" s="772" t="str">
        <f>G69</f>
        <v/>
      </c>
      <c r="L165" s="772"/>
      <c r="M165" s="772"/>
      <c r="N165" s="772"/>
      <c r="O165" s="772"/>
      <c r="P165" s="772"/>
      <c r="Q165" s="772"/>
      <c r="R165" s="772"/>
      <c r="S165" s="772"/>
      <c r="T165" s="772"/>
      <c r="U165" s="773"/>
    </row>
    <row r="166" spans="1:25" ht="24" customHeight="1" x14ac:dyDescent="0.25">
      <c r="A166" s="33"/>
      <c r="B166" s="33"/>
      <c r="C166" s="770" t="s">
        <v>146</v>
      </c>
      <c r="D166" s="771"/>
      <c r="E166" s="771"/>
      <c r="F166" s="771"/>
      <c r="G166" s="771"/>
      <c r="H166" s="771"/>
      <c r="I166" s="771"/>
      <c r="J166" s="771"/>
      <c r="K166" s="772" t="str">
        <f>G128</f>
        <v/>
      </c>
      <c r="L166" s="772"/>
      <c r="M166" s="772"/>
      <c r="N166" s="772"/>
      <c r="O166" s="772"/>
      <c r="P166" s="772"/>
      <c r="Q166" s="772"/>
      <c r="R166" s="772"/>
      <c r="S166" s="772"/>
      <c r="T166" s="772"/>
      <c r="U166" s="773"/>
    </row>
    <row r="167" spans="1:25" ht="24" customHeight="1" x14ac:dyDescent="0.25">
      <c r="A167" s="33"/>
      <c r="B167" s="33"/>
      <c r="C167" s="770" t="s">
        <v>150</v>
      </c>
      <c r="D167" s="771"/>
      <c r="E167" s="771"/>
      <c r="F167" s="771"/>
      <c r="G167" s="771"/>
      <c r="H167" s="771"/>
      <c r="I167" s="771"/>
      <c r="J167" s="771"/>
      <c r="K167" s="772" t="str">
        <f>G157</f>
        <v/>
      </c>
      <c r="L167" s="772"/>
      <c r="M167" s="772"/>
      <c r="N167" s="772"/>
      <c r="O167" s="772"/>
      <c r="P167" s="772"/>
      <c r="Q167" s="772"/>
      <c r="R167" s="772"/>
      <c r="S167" s="772"/>
      <c r="T167" s="772"/>
      <c r="U167" s="773"/>
    </row>
    <row r="168" spans="1:25" x14ac:dyDescent="0.25">
      <c r="A168" s="33"/>
      <c r="B168" s="33"/>
      <c r="C168" s="770" t="s">
        <v>152</v>
      </c>
      <c r="D168" s="771"/>
      <c r="E168" s="771"/>
      <c r="F168" s="771"/>
      <c r="G168" s="771"/>
      <c r="H168" s="771"/>
      <c r="I168" s="771"/>
      <c r="J168" s="771"/>
      <c r="K168" s="970" t="str">
        <f>IF(G25="","",IF(AND(K164="Les échantillons sont homogènes", OR(K165="Les échantillons sont stables", K165=""),OR( K166="Les échantillons sont stables", K166=""),OR(K167="Les échantillons sont stables", K167="")), "Les échantillons sont homogènes et stables", "Les échantillons sont soit non homogènes soit non stables"))</f>
        <v/>
      </c>
      <c r="L168" s="970"/>
      <c r="M168" s="970"/>
      <c r="N168" s="970"/>
      <c r="O168" s="970"/>
      <c r="P168" s="970"/>
      <c r="Q168" s="970"/>
      <c r="R168" s="970"/>
      <c r="S168" s="970"/>
      <c r="T168" s="970"/>
      <c r="U168" s="971"/>
    </row>
    <row r="169" spans="1:25" ht="15.75" thickBot="1" x14ac:dyDescent="0.3">
      <c r="A169" s="33"/>
      <c r="B169" s="33"/>
      <c r="C169" s="968"/>
      <c r="D169" s="969"/>
      <c r="E169" s="969"/>
      <c r="F169" s="969"/>
      <c r="G169" s="969"/>
      <c r="H169" s="969"/>
      <c r="I169" s="969"/>
      <c r="J169" s="969"/>
      <c r="K169" s="972"/>
      <c r="L169" s="972"/>
      <c r="M169" s="972"/>
      <c r="N169" s="972"/>
      <c r="O169" s="972"/>
      <c r="P169" s="972"/>
      <c r="Q169" s="972"/>
      <c r="R169" s="972"/>
      <c r="S169" s="972"/>
      <c r="T169" s="972"/>
      <c r="U169" s="973"/>
    </row>
    <row r="170" spans="1:25" x14ac:dyDescent="0.25">
      <c r="A170" s="33"/>
      <c r="B170" s="33"/>
    </row>
    <row r="171" spans="1:25" x14ac:dyDescent="0.25">
      <c r="A171" s="33"/>
      <c r="B171" s="33"/>
    </row>
    <row r="172" spans="1:25" x14ac:dyDescent="0.25">
      <c r="A172" s="33"/>
      <c r="B172" s="33"/>
    </row>
    <row r="173" spans="1:25" x14ac:dyDescent="0.25">
      <c r="A173" s="33"/>
      <c r="B173" s="33"/>
    </row>
    <row r="174" spans="1:25" x14ac:dyDescent="0.25">
      <c r="A174" s="33"/>
      <c r="B174" s="33"/>
    </row>
    <row r="175" spans="1:25" ht="20.25" customHeight="1" x14ac:dyDescent="0.25">
      <c r="C175" s="974" t="s">
        <v>113</v>
      </c>
      <c r="D175" s="975"/>
      <c r="E175" s="965"/>
      <c r="F175" s="966"/>
      <c r="L175" s="4"/>
      <c r="P175" s="771" t="s">
        <v>55</v>
      </c>
      <c r="Q175" s="771"/>
      <c r="R175" s="300"/>
      <c r="S175" s="300"/>
    </row>
    <row r="176" spans="1:25" ht="19.5" customHeight="1" x14ac:dyDescent="0.25">
      <c r="C176" s="963" t="s">
        <v>11</v>
      </c>
      <c r="D176" s="964"/>
      <c r="E176" s="965"/>
      <c r="F176" s="966"/>
      <c r="L176" s="4"/>
      <c r="P176" s="967" t="s">
        <v>11</v>
      </c>
      <c r="Q176" s="967"/>
      <c r="R176" s="303"/>
      <c r="S176" s="300"/>
    </row>
    <row r="177" spans="3:23" ht="46.5" customHeight="1" x14ac:dyDescent="0.25">
      <c r="C177" s="963" t="s">
        <v>12</v>
      </c>
      <c r="D177" s="964"/>
      <c r="E177" s="301"/>
      <c r="F177" s="302"/>
      <c r="L177" s="4"/>
      <c r="P177" s="967" t="s">
        <v>12</v>
      </c>
      <c r="Q177" s="967"/>
      <c r="R177" s="300"/>
      <c r="S177" s="300"/>
    </row>
    <row r="178" spans="3:23" ht="18.75" customHeight="1" x14ac:dyDescent="0.25">
      <c r="C178" s="52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2"/>
      <c r="Q178" s="5"/>
      <c r="S178" s="53"/>
      <c r="T178" s="54"/>
    </row>
    <row r="179" spans="3:23" ht="18.75" customHeight="1" x14ac:dyDescent="0.25">
      <c r="C179" s="52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2"/>
      <c r="Q179" s="5"/>
      <c r="S179" s="53"/>
      <c r="T179" s="54"/>
    </row>
    <row r="180" spans="3:23" ht="17.25" customHeight="1" x14ac:dyDescent="0.25">
      <c r="J180" s="55"/>
      <c r="L180" s="55"/>
    </row>
    <row r="181" spans="3:23" ht="15" customHeight="1" x14ac:dyDescent="0.25">
      <c r="C181" s="736" t="s">
        <v>13</v>
      </c>
      <c r="D181" s="737"/>
      <c r="E181" s="737"/>
      <c r="F181" s="737"/>
      <c r="G181" s="737"/>
      <c r="H181" s="737"/>
      <c r="I181" s="737"/>
      <c r="J181" s="737"/>
      <c r="K181" s="737"/>
      <c r="L181" s="737"/>
      <c r="M181" s="737"/>
      <c r="N181" s="737"/>
      <c r="O181" s="737"/>
      <c r="P181" s="737"/>
      <c r="Q181" s="737"/>
      <c r="R181" s="737"/>
      <c r="S181" s="737"/>
      <c r="T181" s="737"/>
      <c r="U181" s="737"/>
      <c r="V181" s="737"/>
      <c r="W181" s="738"/>
    </row>
    <row r="182" spans="3:23" x14ac:dyDescent="0.25">
      <c r="C182" s="739"/>
      <c r="D182" s="740"/>
      <c r="E182" s="740"/>
      <c r="F182" s="740"/>
      <c r="G182" s="740"/>
      <c r="H182" s="740"/>
      <c r="I182" s="740"/>
      <c r="J182" s="740"/>
      <c r="K182" s="740"/>
      <c r="L182" s="740"/>
      <c r="M182" s="740"/>
      <c r="N182" s="740"/>
      <c r="O182" s="740"/>
      <c r="P182" s="740"/>
      <c r="Q182" s="740"/>
      <c r="R182" s="740"/>
      <c r="S182" s="740"/>
      <c r="T182" s="740"/>
      <c r="U182" s="740"/>
      <c r="V182" s="740"/>
      <c r="W182" s="741"/>
    </row>
    <row r="183" spans="3:23" x14ac:dyDescent="0.25">
      <c r="C183" s="742"/>
      <c r="D183" s="743"/>
      <c r="E183" s="743"/>
      <c r="F183" s="743"/>
      <c r="G183" s="743"/>
      <c r="H183" s="743"/>
      <c r="I183" s="743"/>
      <c r="J183" s="743"/>
      <c r="K183" s="743"/>
      <c r="L183" s="743"/>
      <c r="M183" s="743"/>
      <c r="N183" s="743"/>
      <c r="O183" s="743"/>
      <c r="P183" s="743"/>
      <c r="Q183" s="743"/>
      <c r="R183" s="743"/>
      <c r="S183" s="743"/>
      <c r="T183" s="743"/>
      <c r="U183" s="743"/>
      <c r="V183" s="743"/>
      <c r="W183" s="744"/>
    </row>
  </sheetData>
  <sheetProtection algorithmName="SHA-512" hashValue="3++ECPBbVREli/fpkglhLdSBAgG6LeB+qTi0BSa8VZLeCDKlA8p/IMjoQ4sDYUvCzrrZJdd4lwFHM6crgJLyjQ==" saltValue="Ka0CbgjfjOOiuVCP9TOJRw==" spinCount="100000" sheet="1" objects="1" scenarios="1"/>
  <mergeCells count="369">
    <mergeCell ref="C176:D176"/>
    <mergeCell ref="E176:F176"/>
    <mergeCell ref="P176:Q176"/>
    <mergeCell ref="R176:S176"/>
    <mergeCell ref="C177:D177"/>
    <mergeCell ref="E177:F177"/>
    <mergeCell ref="P177:Q177"/>
    <mergeCell ref="R177:S177"/>
    <mergeCell ref="C168:J169"/>
    <mergeCell ref="K168:U169"/>
    <mergeCell ref="C175:D175"/>
    <mergeCell ref="E175:F175"/>
    <mergeCell ref="P175:Q175"/>
    <mergeCell ref="R175:S175"/>
    <mergeCell ref="C153:D153"/>
    <mergeCell ref="E153:F153"/>
    <mergeCell ref="C162:U162"/>
    <mergeCell ref="C164:J164"/>
    <mergeCell ref="K164:U164"/>
    <mergeCell ref="C165:J165"/>
    <mergeCell ref="K165:U165"/>
    <mergeCell ref="C166:J166"/>
    <mergeCell ref="K166:U166"/>
    <mergeCell ref="C155:D156"/>
    <mergeCell ref="E155:F155"/>
    <mergeCell ref="G155:I155"/>
    <mergeCell ref="E156:F156"/>
    <mergeCell ref="G156:I156"/>
    <mergeCell ref="C157:F160"/>
    <mergeCell ref="G157:I160"/>
    <mergeCell ref="F127:G127"/>
    <mergeCell ref="H127:J127"/>
    <mergeCell ref="C136:E136"/>
    <mergeCell ref="F136:H136"/>
    <mergeCell ref="C137:E137"/>
    <mergeCell ref="F137:H137"/>
    <mergeCell ref="C138:E138"/>
    <mergeCell ref="F138:H138"/>
    <mergeCell ref="C128:F131"/>
    <mergeCell ref="C133:U133"/>
    <mergeCell ref="C135:E135"/>
    <mergeCell ref="F135:H135"/>
    <mergeCell ref="L112:L114"/>
    <mergeCell ref="M112:M114"/>
    <mergeCell ref="N112:N114"/>
    <mergeCell ref="O112:O114"/>
    <mergeCell ref="P112:P114"/>
    <mergeCell ref="Q112:Q114"/>
    <mergeCell ref="F120:G120"/>
    <mergeCell ref="H120:J120"/>
    <mergeCell ref="F121:G121"/>
    <mergeCell ref="H121:J121"/>
    <mergeCell ref="J104:J106"/>
    <mergeCell ref="K104:K106"/>
    <mergeCell ref="C116:D116"/>
    <mergeCell ref="E116:F116"/>
    <mergeCell ref="C118:D118"/>
    <mergeCell ref="E118:F118"/>
    <mergeCell ref="C112:D114"/>
    <mergeCell ref="E112:F114"/>
    <mergeCell ref="G112:G114"/>
    <mergeCell ref="H112:H114"/>
    <mergeCell ref="I112:I114"/>
    <mergeCell ref="J112:J114"/>
    <mergeCell ref="K112:K114"/>
    <mergeCell ref="C107:D107"/>
    <mergeCell ref="E107:F107"/>
    <mergeCell ref="C110:D110"/>
    <mergeCell ref="E110:F110"/>
    <mergeCell ref="C104:D106"/>
    <mergeCell ref="E104:F106"/>
    <mergeCell ref="G104:G106"/>
    <mergeCell ref="H104:H106"/>
    <mergeCell ref="I104:I106"/>
    <mergeCell ref="T88:T90"/>
    <mergeCell ref="U88:U90"/>
    <mergeCell ref="C99:D99"/>
    <mergeCell ref="E99:F99"/>
    <mergeCell ref="C100:D100"/>
    <mergeCell ref="E100:F100"/>
    <mergeCell ref="C96:D98"/>
    <mergeCell ref="E96:F98"/>
    <mergeCell ref="G96:G98"/>
    <mergeCell ref="H96:H98"/>
    <mergeCell ref="I96:I98"/>
    <mergeCell ref="J96:J98"/>
    <mergeCell ref="K96:K98"/>
    <mergeCell ref="L96:L98"/>
    <mergeCell ref="M96:M98"/>
    <mergeCell ref="N96:N98"/>
    <mergeCell ref="O96:O98"/>
    <mergeCell ref="P96:P98"/>
    <mergeCell ref="Q96:Q98"/>
    <mergeCell ref="O88:O90"/>
    <mergeCell ref="E88:F90"/>
    <mergeCell ref="G88:G90"/>
    <mergeCell ref="H88:H90"/>
    <mergeCell ref="I88:I90"/>
    <mergeCell ref="J88:J90"/>
    <mergeCell ref="K88:K90"/>
    <mergeCell ref="Q88:Q90"/>
    <mergeCell ref="R88:R90"/>
    <mergeCell ref="S88:S90"/>
    <mergeCell ref="W59:Z59"/>
    <mergeCell ref="G53:I53"/>
    <mergeCell ref="AA59:AC59"/>
    <mergeCell ref="C59:D61"/>
    <mergeCell ref="E59:F61"/>
    <mergeCell ref="G59:G61"/>
    <mergeCell ref="H59:H61"/>
    <mergeCell ref="I59:I61"/>
    <mergeCell ref="J59:J61"/>
    <mergeCell ref="K59:K61"/>
    <mergeCell ref="W60:Z60"/>
    <mergeCell ref="AA60:AC60"/>
    <mergeCell ref="L59:L61"/>
    <mergeCell ref="M59:M61"/>
    <mergeCell ref="N59:N61"/>
    <mergeCell ref="O59:O61"/>
    <mergeCell ref="P59:P61"/>
    <mergeCell ref="Q59:Q61"/>
    <mergeCell ref="R59:R61"/>
    <mergeCell ref="S59:S61"/>
    <mergeCell ref="T59:T61"/>
    <mergeCell ref="U59:U61"/>
    <mergeCell ref="W61:Z64"/>
    <mergeCell ref="AA61:AC64"/>
    <mergeCell ref="E31:F31"/>
    <mergeCell ref="C32:D32"/>
    <mergeCell ref="E32:F32"/>
    <mergeCell ref="G50:I50"/>
    <mergeCell ref="G51:I51"/>
    <mergeCell ref="G52:I52"/>
    <mergeCell ref="C37:F37"/>
    <mergeCell ref="G37:I37"/>
    <mergeCell ref="C38:F43"/>
    <mergeCell ref="G38:I43"/>
    <mergeCell ref="C46:P46"/>
    <mergeCell ref="C48:U48"/>
    <mergeCell ref="C52:F52"/>
    <mergeCell ref="U22:U24"/>
    <mergeCell ref="K22:K24"/>
    <mergeCell ref="Q22:Q24"/>
    <mergeCell ref="C27:D27"/>
    <mergeCell ref="E27:F27"/>
    <mergeCell ref="C28:D28"/>
    <mergeCell ref="E28:F28"/>
    <mergeCell ref="C29:D29"/>
    <mergeCell ref="E29:F29"/>
    <mergeCell ref="M22:M24"/>
    <mergeCell ref="R22:R24"/>
    <mergeCell ref="S22:S24"/>
    <mergeCell ref="C25:D25"/>
    <mergeCell ref="E25:F25"/>
    <mergeCell ref="C26:D26"/>
    <mergeCell ref="E26:F26"/>
    <mergeCell ref="H22:H24"/>
    <mergeCell ref="I22:I24"/>
    <mergeCell ref="J22:J24"/>
    <mergeCell ref="N22:N24"/>
    <mergeCell ref="O22:O24"/>
    <mergeCell ref="P22:P24"/>
    <mergeCell ref="L22:L24"/>
    <mergeCell ref="P88:P90"/>
    <mergeCell ref="C77:G77"/>
    <mergeCell ref="C78:G78"/>
    <mergeCell ref="C79:G79"/>
    <mergeCell ref="C80:G80"/>
    <mergeCell ref="C81:G81"/>
    <mergeCell ref="C82:G82"/>
    <mergeCell ref="C56:G56"/>
    <mergeCell ref="C57:G57"/>
    <mergeCell ref="C63:D63"/>
    <mergeCell ref="E63:F63"/>
    <mergeCell ref="C62:D62"/>
    <mergeCell ref="E62:F62"/>
    <mergeCell ref="C67:F67"/>
    <mergeCell ref="G67:I67"/>
    <mergeCell ref="C68:F68"/>
    <mergeCell ref="G68:I68"/>
    <mergeCell ref="C69:F72"/>
    <mergeCell ref="G69:I72"/>
    <mergeCell ref="H79:J79"/>
    <mergeCell ref="H80:J80"/>
    <mergeCell ref="H81:J81"/>
    <mergeCell ref="C74:U74"/>
    <mergeCell ref="H76:J76"/>
    <mergeCell ref="R96:R98"/>
    <mergeCell ref="S96:S98"/>
    <mergeCell ref="T96:T98"/>
    <mergeCell ref="U96:U98"/>
    <mergeCell ref="L104:L106"/>
    <mergeCell ref="M104:M106"/>
    <mergeCell ref="N104:N106"/>
    <mergeCell ref="O104:O106"/>
    <mergeCell ref="P104:P106"/>
    <mergeCell ref="Q104:Q106"/>
    <mergeCell ref="R104:R106"/>
    <mergeCell ref="S104:S106"/>
    <mergeCell ref="T104:T106"/>
    <mergeCell ref="U104:U106"/>
    <mergeCell ref="R112:R114"/>
    <mergeCell ref="S112:S114"/>
    <mergeCell ref="T112:T114"/>
    <mergeCell ref="U112:U114"/>
    <mergeCell ref="W88:Z88"/>
    <mergeCell ref="AA88:AC88"/>
    <mergeCell ref="W89:Z89"/>
    <mergeCell ref="AA89:AC89"/>
    <mergeCell ref="W90:Z95"/>
    <mergeCell ref="AA90:AC95"/>
    <mergeCell ref="W96:Z96"/>
    <mergeCell ref="AA96:AC96"/>
    <mergeCell ref="W97:Z97"/>
    <mergeCell ref="AA97:AC97"/>
    <mergeCell ref="W98:Z103"/>
    <mergeCell ref="AA98:AC103"/>
    <mergeCell ref="W104:Z104"/>
    <mergeCell ref="AA104:AC104"/>
    <mergeCell ref="W105:Z105"/>
    <mergeCell ref="AA105:AC105"/>
    <mergeCell ref="W106:Z111"/>
    <mergeCell ref="AA106:AC111"/>
    <mergeCell ref="W112:Z112"/>
    <mergeCell ref="AA112:AC112"/>
    <mergeCell ref="W113:Z113"/>
    <mergeCell ref="AA113:AC113"/>
    <mergeCell ref="W114:Z119"/>
    <mergeCell ref="AA114:AC119"/>
    <mergeCell ref="H86:L86"/>
    <mergeCell ref="H85:L85"/>
    <mergeCell ref="C84:L84"/>
    <mergeCell ref="C87:L87"/>
    <mergeCell ref="C95:L95"/>
    <mergeCell ref="C103:L103"/>
    <mergeCell ref="C111:L111"/>
    <mergeCell ref="C93:D93"/>
    <mergeCell ref="C94:D94"/>
    <mergeCell ref="E93:F93"/>
    <mergeCell ref="E94:F94"/>
    <mergeCell ref="C101:D101"/>
    <mergeCell ref="E101:F101"/>
    <mergeCell ref="C102:D102"/>
    <mergeCell ref="E102:F102"/>
    <mergeCell ref="C108:D108"/>
    <mergeCell ref="E108:F108"/>
    <mergeCell ref="C109:D109"/>
    <mergeCell ref="E109:F109"/>
    <mergeCell ref="C115:D115"/>
    <mergeCell ref="AA147:AC147"/>
    <mergeCell ref="C147:D149"/>
    <mergeCell ref="E147:F149"/>
    <mergeCell ref="G147:G149"/>
    <mergeCell ref="H147:H149"/>
    <mergeCell ref="I147:I149"/>
    <mergeCell ref="J147:J149"/>
    <mergeCell ref="K147:K149"/>
    <mergeCell ref="L147:L149"/>
    <mergeCell ref="M147:M149"/>
    <mergeCell ref="N147:N149"/>
    <mergeCell ref="O147:O149"/>
    <mergeCell ref="P147:P149"/>
    <mergeCell ref="Q147:Q149"/>
    <mergeCell ref="R147:R149"/>
    <mergeCell ref="S147:S149"/>
    <mergeCell ref="T147:T149"/>
    <mergeCell ref="U147:U149"/>
    <mergeCell ref="W148:Z148"/>
    <mergeCell ref="AA148:AC148"/>
    <mergeCell ref="W149:Z154"/>
    <mergeCell ref="AA149:AC154"/>
    <mergeCell ref="C150:D150"/>
    <mergeCell ref="E150:F150"/>
    <mergeCell ref="F139:N141"/>
    <mergeCell ref="C143:L143"/>
    <mergeCell ref="C144:G144"/>
    <mergeCell ref="H144:L144"/>
    <mergeCell ref="C145:G145"/>
    <mergeCell ref="H145:L145"/>
    <mergeCell ref="C146:L146"/>
    <mergeCell ref="C55:L55"/>
    <mergeCell ref="H56:L56"/>
    <mergeCell ref="H57:L57"/>
    <mergeCell ref="C58:L58"/>
    <mergeCell ref="L88:L90"/>
    <mergeCell ref="M88:M90"/>
    <mergeCell ref="N88:N90"/>
    <mergeCell ref="H77:J77"/>
    <mergeCell ref="H78:J78"/>
    <mergeCell ref="H82:J82"/>
    <mergeCell ref="C85:G85"/>
    <mergeCell ref="C86:G86"/>
    <mergeCell ref="C91:D91"/>
    <mergeCell ref="E91:F91"/>
    <mergeCell ref="C92:D92"/>
    <mergeCell ref="E92:F92"/>
    <mergeCell ref="C88:D90"/>
    <mergeCell ref="B2:D4"/>
    <mergeCell ref="E2:T4"/>
    <mergeCell ref="G20:I20"/>
    <mergeCell ref="C22:D24"/>
    <mergeCell ref="E22:F24"/>
    <mergeCell ref="G22:G24"/>
    <mergeCell ref="C53:F53"/>
    <mergeCell ref="C64:D64"/>
    <mergeCell ref="E64:F64"/>
    <mergeCell ref="C14:H14"/>
    <mergeCell ref="I14:N14"/>
    <mergeCell ref="C16:N16"/>
    <mergeCell ref="G18:I18"/>
    <mergeCell ref="G19:I19"/>
    <mergeCell ref="T22:T24"/>
    <mergeCell ref="C33:D33"/>
    <mergeCell ref="E33:F33"/>
    <mergeCell ref="C34:D34"/>
    <mergeCell ref="E34:F34"/>
    <mergeCell ref="C36:F36"/>
    <mergeCell ref="G36:I36"/>
    <mergeCell ref="C30:D30"/>
    <mergeCell ref="E30:F30"/>
    <mergeCell ref="C31:D31"/>
    <mergeCell ref="K167:U167"/>
    <mergeCell ref="C6:U7"/>
    <mergeCell ref="C18:F18"/>
    <mergeCell ref="C19:F19"/>
    <mergeCell ref="C20:F20"/>
    <mergeCell ref="C44:F44"/>
    <mergeCell ref="G44:I44"/>
    <mergeCell ref="C50:F50"/>
    <mergeCell ref="C51:F51"/>
    <mergeCell ref="C10:H10"/>
    <mergeCell ref="I10:N10"/>
    <mergeCell ref="C11:H11"/>
    <mergeCell ref="I11:N11"/>
    <mergeCell ref="C12:H12"/>
    <mergeCell ref="I12:N12"/>
    <mergeCell ref="C13:H13"/>
    <mergeCell ref="I13:J13"/>
    <mergeCell ref="K13:N13"/>
    <mergeCell ref="C65:D65"/>
    <mergeCell ref="E65:F65"/>
    <mergeCell ref="C76:G76"/>
    <mergeCell ref="C151:D151"/>
    <mergeCell ref="E151:F151"/>
    <mergeCell ref="C139:E141"/>
    <mergeCell ref="U2:W4"/>
    <mergeCell ref="C181:W183"/>
    <mergeCell ref="E115:F115"/>
    <mergeCell ref="C117:D117"/>
    <mergeCell ref="E117:F117"/>
    <mergeCell ref="C120:E121"/>
    <mergeCell ref="C122:E123"/>
    <mergeCell ref="C124:E125"/>
    <mergeCell ref="C126:E127"/>
    <mergeCell ref="G128:J131"/>
    <mergeCell ref="C152:D152"/>
    <mergeCell ref="E152:F152"/>
    <mergeCell ref="W147:Z147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C167:J167"/>
  </mergeCells>
  <phoneticPr fontId="32" type="noConversion"/>
  <conditionalFormatting sqref="G128 C161:I161">
    <cfRule type="cellIs" dxfId="163" priority="117" operator="equal">
      <formula>"Les échantillons ne sont pas stables"</formula>
    </cfRule>
  </conditionalFormatting>
  <conditionalFormatting sqref="G128 G157:I160 C161:I161">
    <cfRule type="cellIs" dxfId="162" priority="116" operator="equal">
      <formula>"Les échantillons sont stables"</formula>
    </cfRule>
  </conditionalFormatting>
  <conditionalFormatting sqref="G38:I43 G44">
    <cfRule type="cellIs" dxfId="161" priority="136" operator="equal">
      <formula>"Les échantillons sont homogènes"</formula>
    </cfRule>
    <cfRule type="cellIs" dxfId="160" priority="137" operator="equal">
      <formula>"Les échantillons ne sont pas homogènes; éliminer les résultats indiqués en rouge. Ne pas éliminer plusque 2 résultats"</formula>
    </cfRule>
  </conditionalFormatting>
  <conditionalFormatting sqref="G38:I43">
    <cfRule type="cellIs" dxfId="159" priority="2" operator="equal">
      <formula>"Les échantillons ne sont pas homogènes; éliminer les résultats indiqués en rouge. Ne pas éliminer plus que 1 résultat"</formula>
    </cfRule>
    <cfRule type="cellIs" dxfId="158" priority="48" operator="equal">
      <formula>$AB$4</formula>
    </cfRule>
    <cfRule type="cellIs" dxfId="157" priority="47" operator="equal">
      <formula>$AB$5</formula>
    </cfRule>
  </conditionalFormatting>
  <conditionalFormatting sqref="G67:I68">
    <cfRule type="cellIs" dxfId="156" priority="127" operator="equal">
      <formula>"Les échantillons sont stables"</formula>
    </cfRule>
  </conditionalFormatting>
  <conditionalFormatting sqref="G67:I72">
    <cfRule type="cellIs" dxfId="155" priority="126" operator="equal">
      <formula>"Les échantillons ne sont pas stables"</formula>
    </cfRule>
  </conditionalFormatting>
  <conditionalFormatting sqref="G69:I72">
    <cfRule type="cellIs" dxfId="154" priority="125" operator="equal">
      <formula>"Les échantillons sont stables"</formula>
    </cfRule>
  </conditionalFormatting>
  <conditionalFormatting sqref="G155:I156">
    <cfRule type="cellIs" dxfId="153" priority="96" operator="equal">
      <formula>"Les échantillons sont stables"</formula>
    </cfRule>
  </conditionalFormatting>
  <conditionalFormatting sqref="G155:I160">
    <cfRule type="cellIs" dxfId="152" priority="97" operator="equal">
      <formula>"Les échantillons ne sont pas stables"</formula>
    </cfRule>
  </conditionalFormatting>
  <conditionalFormatting sqref="H120:J127">
    <cfRule type="cellIs" dxfId="151" priority="58" operator="equal">
      <formula>"Les échantillons ne sont pas stables"</formula>
    </cfRule>
    <cfRule type="cellIs" dxfId="150" priority="59" operator="equal">
      <formula>"Les échantillons sont stables"</formula>
    </cfRule>
  </conditionalFormatting>
  <conditionalFormatting sqref="K164:U164">
    <cfRule type="cellIs" dxfId="149" priority="11" operator="equal">
      <formula>$AB$5</formula>
    </cfRule>
    <cfRule type="cellIs" dxfId="148" priority="12" operator="equal">
      <formula>$AB$4</formula>
    </cfRule>
  </conditionalFormatting>
  <conditionalFormatting sqref="K165:U167">
    <cfRule type="cellIs" dxfId="147" priority="5" operator="equal">
      <formula>"Les échantillons sont stables"</formula>
    </cfRule>
    <cfRule type="cellIs" dxfId="146" priority="6" operator="equal">
      <formula>"Les échantillons ne sont pas stables"</formula>
    </cfRule>
  </conditionalFormatting>
  <conditionalFormatting sqref="K168:U169">
    <cfRule type="cellIs" dxfId="145" priority="3" operator="equal">
      <formula>"Les échantillons sont homogènes et stables"</formula>
    </cfRule>
    <cfRule type="cellIs" dxfId="144" priority="4" operator="equal">
      <formula>"Les échantillons sont soit non homogènes soit non stables"</formula>
    </cfRule>
    <cfRule type="cellIs" dxfId="143" priority="94" operator="equal">
      <formula>"Les échantillons sont soit non homogène soit non stables"</formula>
    </cfRule>
  </conditionalFormatting>
  <conditionalFormatting sqref="M25:R34">
    <cfRule type="cellIs" dxfId="142" priority="130" operator="equal">
      <formula>"OK"</formula>
    </cfRule>
    <cfRule type="cellIs" dxfId="141" priority="131" operator="equal">
      <formula>"NOT OK"</formula>
    </cfRule>
  </conditionalFormatting>
  <conditionalFormatting sqref="M62:R65">
    <cfRule type="cellIs" dxfId="140" priority="91" operator="equal">
      <formula>"NOT OK"</formula>
    </cfRule>
    <cfRule type="cellIs" dxfId="139" priority="90" operator="equal">
      <formula>"OK"</formula>
    </cfRule>
  </conditionalFormatting>
  <conditionalFormatting sqref="M91:R94">
    <cfRule type="cellIs" dxfId="138" priority="86" operator="equal">
      <formula>"OK"</formula>
    </cfRule>
    <cfRule type="cellIs" dxfId="137" priority="87" operator="equal">
      <formula>"NOT OK"</formula>
    </cfRule>
  </conditionalFormatting>
  <conditionalFormatting sqref="M99:R102">
    <cfRule type="cellIs" dxfId="136" priority="41" operator="equal">
      <formula>"OK"</formula>
    </cfRule>
    <cfRule type="cellIs" dxfId="135" priority="42" operator="equal">
      <formula>"NOT OK"</formula>
    </cfRule>
  </conditionalFormatting>
  <conditionalFormatting sqref="M107:R110">
    <cfRule type="cellIs" dxfId="134" priority="38" operator="equal">
      <formula>"NOT OK"</formula>
    </cfRule>
    <cfRule type="cellIs" dxfId="133" priority="37" operator="equal">
      <formula>"OK"</formula>
    </cfRule>
  </conditionalFormatting>
  <conditionalFormatting sqref="M115:R118">
    <cfRule type="cellIs" dxfId="132" priority="33" operator="equal">
      <formula>"OK"</formula>
    </cfRule>
    <cfRule type="cellIs" dxfId="131" priority="34" operator="equal">
      <formula>"NOT OK"</formula>
    </cfRule>
  </conditionalFormatting>
  <conditionalFormatting sqref="M150:R153">
    <cfRule type="cellIs" dxfId="130" priority="50" operator="equal">
      <formula>"NOT OK"</formula>
    </cfRule>
    <cfRule type="cellIs" dxfId="129" priority="49" operator="equal">
      <formula>"OK"</formula>
    </cfRule>
  </conditionalFormatting>
  <conditionalFormatting sqref="N174:N175">
    <cfRule type="cellIs" dxfId="128" priority="95" operator="equal">
      <formula>"Les échantillons sont homogènes et stables"</formula>
    </cfRule>
  </conditionalFormatting>
  <conditionalFormatting sqref="U25:U34">
    <cfRule type="cellIs" dxfId="127" priority="139" operator="greaterThan">
      <formula>$I$14</formula>
    </cfRule>
    <cfRule type="cellIs" dxfId="126" priority="138" operator="lessThanOrEqual">
      <formula>$I$14</formula>
    </cfRule>
  </conditionalFormatting>
  <conditionalFormatting sqref="U62:U65">
    <cfRule type="cellIs" dxfId="125" priority="93" operator="greaterThan">
      <formula>$I$14</formula>
    </cfRule>
    <cfRule type="cellIs" dxfId="124" priority="92" operator="lessThanOrEqual">
      <formula>$I$14</formula>
    </cfRule>
  </conditionalFormatting>
  <conditionalFormatting sqref="U91:U94">
    <cfRule type="cellIs" dxfId="123" priority="88" operator="lessThanOrEqual">
      <formula>$I$14</formula>
    </cfRule>
    <cfRule type="cellIs" dxfId="122" priority="89" operator="greaterThan">
      <formula>$I$14</formula>
    </cfRule>
  </conditionalFormatting>
  <conditionalFormatting sqref="U99:U102">
    <cfRule type="cellIs" dxfId="121" priority="43" operator="lessThanOrEqual">
      <formula>$I$14</formula>
    </cfRule>
    <cfRule type="cellIs" dxfId="120" priority="44" operator="greaterThan">
      <formula>$I$14</formula>
    </cfRule>
  </conditionalFormatting>
  <conditionalFormatting sqref="U107:U110">
    <cfRule type="cellIs" dxfId="119" priority="40" operator="greaterThan">
      <formula>$I$14</formula>
    </cfRule>
    <cfRule type="cellIs" dxfId="118" priority="39" operator="lessThanOrEqual">
      <formula>$I$14</formula>
    </cfRule>
  </conditionalFormatting>
  <conditionalFormatting sqref="U115:U118">
    <cfRule type="cellIs" dxfId="117" priority="35" operator="lessThanOrEqual">
      <formula>$I$14</formula>
    </cfRule>
    <cfRule type="cellIs" dxfId="116" priority="36" operator="greaterThan">
      <formula>$I$14</formula>
    </cfRule>
  </conditionalFormatting>
  <conditionalFormatting sqref="U150:U153">
    <cfRule type="cellIs" dxfId="115" priority="51" operator="lessThanOrEqual">
      <formula>$I$14</formula>
    </cfRule>
    <cfRule type="cellIs" dxfId="114" priority="52" operator="greaterThan">
      <formula>$I$14</formula>
    </cfRule>
  </conditionalFormatting>
  <conditionalFormatting sqref="AA61:AC64">
    <cfRule type="cellIs" dxfId="113" priority="1" operator="equal">
      <formula>"Les échantillons ne sont pas homogènes; éliminer les résultats indiqués en rouge. Ne pas éliminer plus que 1 résultat"</formula>
    </cfRule>
    <cfRule type="cellIs" dxfId="112" priority="45" operator="equal">
      <formula>$AB$7</formula>
    </cfRule>
    <cfRule type="cellIs" dxfId="111" priority="46" operator="equal">
      <formula>$AB$6</formula>
    </cfRule>
  </conditionalFormatting>
  <conditionalFormatting sqref="AA61:AC66">
    <cfRule type="cellIs" dxfId="110" priority="128" operator="equal">
      <formula>"Les échantillons sont homogènes"</formula>
    </cfRule>
    <cfRule type="cellIs" dxfId="109" priority="129" operator="equal">
      <formula>"Les échantillons ne sont pas homogènes;remplacer par d'autre résutats"</formula>
    </cfRule>
  </conditionalFormatting>
  <conditionalFormatting sqref="AA90:AC95">
    <cfRule type="cellIs" dxfId="108" priority="29" operator="equal">
      <formula>$AB$7</formula>
    </cfRule>
    <cfRule type="cellIs" dxfId="107" priority="72" operator="equal">
      <formula>"Les échantillons sont homogènes"</formula>
    </cfRule>
    <cfRule type="cellIs" dxfId="106" priority="73" operator="equal">
      <formula>"Les échantillons ne sont pas homogènes;remplacer par d'autre résutats"</formula>
    </cfRule>
    <cfRule type="cellIs" dxfId="105" priority="30" operator="equal">
      <formula>$AB$6</formula>
    </cfRule>
  </conditionalFormatting>
  <conditionalFormatting sqref="AA98:AC103">
    <cfRule type="cellIs" dxfId="104" priority="28" operator="equal">
      <formula>"Les échantillons ne sont pas homogènes;remplacer par d'autre résutats"</formula>
    </cfRule>
    <cfRule type="cellIs" dxfId="103" priority="27" operator="equal">
      <formula>"Les échantillons sont homogènes"</formula>
    </cfRule>
    <cfRule type="cellIs" dxfId="102" priority="26" operator="equal">
      <formula>$AB$6</formula>
    </cfRule>
    <cfRule type="cellIs" dxfId="101" priority="25" operator="equal">
      <formula>$AB$7</formula>
    </cfRule>
  </conditionalFormatting>
  <conditionalFormatting sqref="AA106:AC111">
    <cfRule type="cellIs" dxfId="100" priority="24" operator="equal">
      <formula>"Les échantillons ne sont pas homogènes;remplacer par d'autre résutats"</formula>
    </cfRule>
    <cfRule type="cellIs" dxfId="99" priority="22" operator="equal">
      <formula>$AB$6</formula>
    </cfRule>
    <cfRule type="cellIs" dxfId="98" priority="21" operator="equal">
      <formula>$AB$7</formula>
    </cfRule>
    <cfRule type="cellIs" dxfId="97" priority="23" operator="equal">
      <formula>"Les échantillons sont homogènes"</formula>
    </cfRule>
  </conditionalFormatting>
  <conditionalFormatting sqref="AA114:AC119">
    <cfRule type="cellIs" dxfId="96" priority="20" operator="equal">
      <formula>"Les échantillons ne sont pas homogènes;remplacer par d'autre résutats"</formula>
    </cfRule>
    <cfRule type="cellIs" dxfId="95" priority="19" operator="equal">
      <formula>"Les échantillons sont homogènes"</formula>
    </cfRule>
    <cfRule type="cellIs" dxfId="94" priority="18" operator="equal">
      <formula>$AB$6</formula>
    </cfRule>
    <cfRule type="cellIs" dxfId="93" priority="17" operator="equal">
      <formula>$AB$7</formula>
    </cfRule>
  </conditionalFormatting>
  <conditionalFormatting sqref="AA149:AC154">
    <cfRule type="cellIs" dxfId="92" priority="14" operator="equal">
      <formula>$AB$6</formula>
    </cfRule>
    <cfRule type="cellIs" dxfId="91" priority="16" operator="equal">
      <formula>"Les échantillons ne sont pas homogènes;remplacer par d'autre résutats"</formula>
    </cfRule>
    <cfRule type="cellIs" dxfId="90" priority="15" operator="equal">
      <formula>"Les échantillons sont homogènes"</formula>
    </cfRule>
    <cfRule type="cellIs" dxfId="89" priority="13" operator="equal">
      <formula>$AB$7</formula>
    </cfRule>
  </conditionalFormatting>
  <dataValidations count="2">
    <dataValidation type="list" allowBlank="1" showInputMessage="1" showErrorMessage="1" sqref="S39" xr:uid="{78360064-60F4-43B8-920C-81E4EEF303E5}">
      <formula1>$AC$1:$AC$2</formula1>
    </dataValidation>
    <dataValidation type="list" allowBlank="1" showInputMessage="1" showErrorMessage="1" sqref="I13:J13" xr:uid="{7207EB7D-D4F6-46FD-98E0-DDB28899DE9E}">
      <formula1>$AB$1:$AB$2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3473-68E8-4E16-B57A-319C3E7E649A}">
  <dimension ref="A1:AL386"/>
  <sheetViews>
    <sheetView tabSelected="1" zoomScale="109" zoomScaleNormal="109" workbookViewId="0">
      <selection activeCell="H18" sqref="H18"/>
    </sheetView>
  </sheetViews>
  <sheetFormatPr baseColWidth="10" defaultColWidth="9.140625" defaultRowHeight="15" x14ac:dyDescent="0.25"/>
  <cols>
    <col min="1" max="1" width="9.28515625" customWidth="1"/>
    <col min="2" max="2" width="14.42578125" customWidth="1"/>
    <col min="3" max="3" width="11" customWidth="1"/>
    <col min="4" max="4" width="14.140625" customWidth="1"/>
    <col min="5" max="5" width="11.28515625" customWidth="1"/>
    <col min="6" max="6" width="19" customWidth="1"/>
    <col min="7" max="7" width="20.140625" customWidth="1"/>
    <col min="8" max="8" width="21.28515625" customWidth="1"/>
    <col min="9" max="9" width="22.7109375" customWidth="1"/>
    <col min="10" max="10" width="22" customWidth="1"/>
    <col min="11" max="11" width="24" customWidth="1"/>
    <col min="12" max="12" width="21.7109375" customWidth="1"/>
    <col min="13" max="13" width="21.140625" customWidth="1"/>
    <col min="14" max="14" width="23" customWidth="1"/>
    <col min="15" max="15" width="16.42578125" customWidth="1"/>
    <col min="16" max="16" width="19.7109375" customWidth="1"/>
    <col min="17" max="17" width="20.5703125" customWidth="1"/>
    <col min="18" max="18" width="20.85546875" customWidth="1"/>
    <col min="19" max="19" width="20.42578125" customWidth="1"/>
    <col min="20" max="20" width="20.5703125" customWidth="1"/>
    <col min="21" max="21" width="18.28515625" customWidth="1"/>
    <col min="22" max="22" width="23.140625" customWidth="1"/>
    <col min="23" max="23" width="19.85546875" customWidth="1"/>
    <col min="24" max="25" width="14.85546875" customWidth="1"/>
    <col min="26" max="26" width="15.28515625" customWidth="1"/>
    <col min="27" max="27" width="16.28515625" customWidth="1"/>
  </cols>
  <sheetData>
    <row r="1" spans="2:27" ht="18.75" customHeight="1" thickBot="1" x14ac:dyDescent="0.3">
      <c r="AA1" t="s">
        <v>114</v>
      </c>
    </row>
    <row r="2" spans="2:27" ht="22.5" customHeight="1" x14ac:dyDescent="0.25">
      <c r="B2" s="213"/>
      <c r="C2" s="214"/>
      <c r="D2" s="215"/>
      <c r="E2" s="813" t="s">
        <v>17</v>
      </c>
      <c r="F2" s="814"/>
      <c r="G2" s="814"/>
      <c r="H2" s="814"/>
      <c r="I2" s="814"/>
      <c r="J2" s="814"/>
      <c r="K2" s="814"/>
      <c r="L2" s="814"/>
      <c r="M2" s="814"/>
      <c r="N2" s="814"/>
      <c r="O2" s="814"/>
      <c r="P2" s="814"/>
      <c r="Q2" s="814"/>
      <c r="R2" s="814"/>
      <c r="S2" s="814"/>
      <c r="T2" s="814"/>
      <c r="U2" s="815"/>
      <c r="V2" s="284" t="s">
        <v>321</v>
      </c>
      <c r="W2" s="284"/>
      <c r="X2" s="284"/>
      <c r="AA2" t="s">
        <v>115</v>
      </c>
    </row>
    <row r="3" spans="2:27" ht="18" customHeight="1" x14ac:dyDescent="0.25">
      <c r="B3" s="216"/>
      <c r="C3" s="217"/>
      <c r="D3" s="218"/>
      <c r="E3" s="816"/>
      <c r="F3" s="817"/>
      <c r="G3" s="817"/>
      <c r="H3" s="817"/>
      <c r="I3" s="817"/>
      <c r="J3" s="817"/>
      <c r="K3" s="817"/>
      <c r="L3" s="817"/>
      <c r="M3" s="817"/>
      <c r="N3" s="817"/>
      <c r="O3" s="817"/>
      <c r="P3" s="817"/>
      <c r="Q3" s="817"/>
      <c r="R3" s="817"/>
      <c r="S3" s="817"/>
      <c r="T3" s="817"/>
      <c r="U3" s="818"/>
      <c r="V3" s="285"/>
      <c r="W3" s="285"/>
      <c r="X3" s="285"/>
      <c r="AA3" t="s">
        <v>116</v>
      </c>
    </row>
    <row r="4" spans="2:27" ht="18.75" customHeight="1" thickBot="1" x14ac:dyDescent="0.3">
      <c r="B4" s="219"/>
      <c r="C4" s="220"/>
      <c r="D4" s="221"/>
      <c r="E4" s="819"/>
      <c r="F4" s="820"/>
      <c r="G4" s="820"/>
      <c r="H4" s="820"/>
      <c r="I4" s="820"/>
      <c r="J4" s="820"/>
      <c r="K4" s="820"/>
      <c r="L4" s="820"/>
      <c r="M4" s="820"/>
      <c r="N4" s="820"/>
      <c r="O4" s="820"/>
      <c r="P4" s="820"/>
      <c r="Q4" s="820"/>
      <c r="R4" s="820"/>
      <c r="S4" s="820"/>
      <c r="T4" s="820"/>
      <c r="U4" s="821"/>
      <c r="V4" s="286"/>
      <c r="W4" s="286"/>
      <c r="X4" s="286"/>
      <c r="AA4" t="s">
        <v>239</v>
      </c>
    </row>
    <row r="5" spans="2:27" ht="19.5" customHeight="1" thickBot="1" x14ac:dyDescent="0.3"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/>
      <c r="W5" s="6"/>
    </row>
    <row r="6" spans="2:27" ht="34.5" customHeight="1" thickBot="1" x14ac:dyDescent="0.3">
      <c r="D6" s="1046" t="s">
        <v>241</v>
      </c>
      <c r="E6" s="1047"/>
      <c r="F6" s="1047"/>
      <c r="G6" s="1047"/>
      <c r="H6" s="1047"/>
      <c r="I6" s="1047"/>
      <c r="J6" s="1047"/>
      <c r="K6" s="1047"/>
      <c r="L6" s="1047"/>
      <c r="M6" s="1047"/>
      <c r="N6" s="1047"/>
      <c r="O6" s="1047"/>
      <c r="P6" s="1047"/>
      <c r="Q6" s="1047"/>
      <c r="R6" s="1047"/>
      <c r="S6" s="1048"/>
      <c r="T6" s="5"/>
      <c r="U6" s="6"/>
      <c r="V6" s="6"/>
    </row>
    <row r="7" spans="2:27" ht="19.5" customHeight="1" x14ac:dyDescent="0.25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6"/>
      <c r="T7" s="6"/>
    </row>
    <row r="8" spans="2:27" ht="19.5" customHeight="1" thickBot="1" x14ac:dyDescent="0.3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6"/>
      <c r="T8" s="6"/>
    </row>
    <row r="9" spans="2:27" ht="19.5" customHeight="1" x14ac:dyDescent="0.25">
      <c r="B9" s="791" t="s">
        <v>14</v>
      </c>
      <c r="C9" s="792"/>
      <c r="D9" s="792"/>
      <c r="E9" s="792"/>
      <c r="F9" s="792"/>
      <c r="G9" s="792"/>
      <c r="H9" s="1051"/>
      <c r="I9" s="548"/>
      <c r="J9" s="548"/>
      <c r="K9" s="548"/>
      <c r="L9" s="548"/>
      <c r="M9" s="548"/>
      <c r="N9" s="548"/>
      <c r="O9" s="548"/>
      <c r="P9" s="548"/>
      <c r="Q9" s="549"/>
      <c r="V9" s="5"/>
      <c r="W9" s="5"/>
    </row>
    <row r="10" spans="2:27" ht="19.5" customHeight="1" x14ac:dyDescent="0.25">
      <c r="B10" s="797" t="s">
        <v>10</v>
      </c>
      <c r="C10" s="798"/>
      <c r="D10" s="798"/>
      <c r="E10" s="798"/>
      <c r="F10" s="798"/>
      <c r="G10" s="798"/>
      <c r="H10" s="1040"/>
      <c r="I10" s="552"/>
      <c r="J10" s="552"/>
      <c r="K10" s="552"/>
      <c r="L10" s="552"/>
      <c r="M10" s="552"/>
      <c r="N10" s="552"/>
      <c r="O10" s="552"/>
      <c r="P10" s="552"/>
      <c r="Q10" s="553"/>
      <c r="V10" s="5"/>
      <c r="W10" s="5"/>
    </row>
    <row r="11" spans="2:27" ht="18.75" customHeight="1" x14ac:dyDescent="0.25">
      <c r="B11" s="797" t="s">
        <v>23</v>
      </c>
      <c r="C11" s="798"/>
      <c r="D11" s="798"/>
      <c r="E11" s="798"/>
      <c r="F11" s="798"/>
      <c r="G11" s="798"/>
      <c r="H11" s="1040"/>
      <c r="I11" s="552"/>
      <c r="J11" s="552"/>
      <c r="K11" s="552"/>
      <c r="L11" s="552"/>
      <c r="M11" s="552"/>
      <c r="N11" s="552"/>
      <c r="O11" s="552"/>
      <c r="P11" s="552"/>
      <c r="Q11" s="553"/>
      <c r="V11" s="5"/>
      <c r="W11" s="5"/>
    </row>
    <row r="12" spans="2:27" ht="38.25" customHeight="1" x14ac:dyDescent="0.25">
      <c r="B12" s="1052" t="s">
        <v>117</v>
      </c>
      <c r="C12" s="1053"/>
      <c r="D12" s="1053"/>
      <c r="E12" s="1053"/>
      <c r="F12" s="1053"/>
      <c r="G12" s="1053"/>
      <c r="H12" s="1056" t="s">
        <v>114</v>
      </c>
      <c r="I12" s="175" t="s">
        <v>175</v>
      </c>
      <c r="J12" s="175" t="s">
        <v>176</v>
      </c>
      <c r="K12" s="175" t="s">
        <v>177</v>
      </c>
      <c r="L12" s="175" t="s">
        <v>178</v>
      </c>
      <c r="M12" s="175" t="s">
        <v>179</v>
      </c>
      <c r="N12" s="175" t="s">
        <v>180</v>
      </c>
      <c r="O12" s="175" t="s">
        <v>181</v>
      </c>
      <c r="P12" s="175" t="s">
        <v>182</v>
      </c>
      <c r="Q12" s="176" t="s">
        <v>183</v>
      </c>
      <c r="V12" s="5"/>
      <c r="W12" s="5"/>
    </row>
    <row r="13" spans="2:27" ht="18.75" customHeight="1" x14ac:dyDescent="0.25">
      <c r="B13" s="1054"/>
      <c r="C13" s="1055"/>
      <c r="D13" s="1055"/>
      <c r="E13" s="1055"/>
      <c r="F13" s="1055"/>
      <c r="G13" s="1055"/>
      <c r="H13" s="1056"/>
      <c r="I13" s="175" t="str">
        <f>IF(F25="","",IF($H$12=$AA$1,F69,IF($H$12=$AA$2,F70,"Indiquer Médiane ou Mode")))</f>
        <v/>
      </c>
      <c r="J13" s="175" t="str">
        <f>IF(G25="","",IF($H$12=$AA$1,G69,IF($H$12=$AA$2,G70,"Indiquer Médiane ou Mode")))</f>
        <v/>
      </c>
      <c r="K13" s="175" t="str">
        <f t="shared" ref="K13:Q13" si="0">IF(H25="","",IF($H$12=$AA$1,H69,IF($H$12=$AA$2,H70,"Indiquer Médiane ou Mode")))</f>
        <v/>
      </c>
      <c r="L13" s="175" t="str">
        <f t="shared" si="0"/>
        <v/>
      </c>
      <c r="M13" s="175" t="str">
        <f t="shared" si="0"/>
        <v/>
      </c>
      <c r="N13" s="175" t="str">
        <f t="shared" si="0"/>
        <v/>
      </c>
      <c r="O13" s="175" t="str">
        <f t="shared" si="0"/>
        <v/>
      </c>
      <c r="P13" s="175" t="str">
        <f>IF(M25="","",IF($H$12=$AA$1,M69,IF($H$12=$AA$2,M70,"Indiquer Médiane ou Mode")))</f>
        <v/>
      </c>
      <c r="Q13" s="176" t="str">
        <f t="shared" si="0"/>
        <v/>
      </c>
      <c r="V13" s="5"/>
      <c r="W13" s="5"/>
    </row>
    <row r="14" spans="2:27" ht="19.5" customHeight="1" thickBot="1" x14ac:dyDescent="0.3">
      <c r="B14" s="832" t="s">
        <v>118</v>
      </c>
      <c r="C14" s="833"/>
      <c r="D14" s="833"/>
      <c r="E14" s="833"/>
      <c r="F14" s="833"/>
      <c r="G14" s="833"/>
      <c r="H14" s="1041"/>
      <c r="I14" s="1042"/>
      <c r="J14" s="1042"/>
      <c r="K14" s="1042"/>
      <c r="L14" s="1042"/>
      <c r="M14" s="1042"/>
      <c r="N14" s="1042"/>
      <c r="O14" s="1042"/>
      <c r="P14" s="1042"/>
      <c r="Q14" s="1043"/>
      <c r="V14" s="5"/>
      <c r="W14" s="5"/>
    </row>
    <row r="15" spans="2:27" ht="18.75" customHeight="1" thickBot="1" x14ac:dyDescent="0.3">
      <c r="B15" s="4"/>
      <c r="C15" s="7"/>
      <c r="D15" s="7"/>
      <c r="E15" s="7"/>
      <c r="F15" s="5"/>
      <c r="G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6"/>
      <c r="U15" s="6"/>
    </row>
    <row r="16" spans="2:27" ht="34.5" customHeight="1" thickBot="1" x14ac:dyDescent="0.3">
      <c r="B16" s="448" t="s">
        <v>119</v>
      </c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/>
      <c r="O16" s="449"/>
      <c r="P16" s="449"/>
      <c r="Q16" s="449"/>
      <c r="R16" s="449"/>
      <c r="S16" s="449"/>
      <c r="T16" s="450"/>
    </row>
    <row r="17" spans="2:23" ht="19.5" customHeight="1" thickBot="1" x14ac:dyDescent="0.3"/>
    <row r="18" spans="2:23" ht="32.25" customHeight="1" x14ac:dyDescent="0.25">
      <c r="B18" s="1049" t="s">
        <v>54</v>
      </c>
      <c r="C18" s="1050"/>
      <c r="D18" s="1050"/>
      <c r="E18" s="834"/>
      <c r="F18" s="835"/>
      <c r="G18" s="836"/>
    </row>
    <row r="19" spans="2:23" ht="19.5" customHeight="1" x14ac:dyDescent="0.25">
      <c r="B19" s="985" t="s">
        <v>120</v>
      </c>
      <c r="C19" s="986"/>
      <c r="D19" s="986"/>
      <c r="E19" s="837" t="str">
        <f>IF(F25="","",COUNT(F25:F34))</f>
        <v/>
      </c>
      <c r="F19" s="837"/>
      <c r="G19" s="838"/>
    </row>
    <row r="20" spans="2:23" ht="19.5" customHeight="1" thickBot="1" x14ac:dyDescent="0.3">
      <c r="B20" s="1044" t="s">
        <v>121</v>
      </c>
      <c r="C20" s="1045"/>
      <c r="D20" s="1045"/>
      <c r="E20" s="822">
        <v>2</v>
      </c>
      <c r="F20" s="822"/>
      <c r="G20" s="823"/>
    </row>
    <row r="21" spans="2:23" ht="19.5" customHeight="1" thickBot="1" x14ac:dyDescent="0.3">
      <c r="F21" s="5"/>
    </row>
    <row r="22" spans="2:23" ht="19.5" customHeight="1" x14ac:dyDescent="0.25">
      <c r="B22" s="824" t="s">
        <v>28</v>
      </c>
      <c r="C22" s="825"/>
      <c r="D22" s="825" t="s">
        <v>122</v>
      </c>
      <c r="E22" s="825"/>
      <c r="F22" s="828" t="s">
        <v>0</v>
      </c>
      <c r="G22" s="828"/>
      <c r="H22" s="828"/>
      <c r="I22" s="828"/>
      <c r="J22" s="828"/>
      <c r="K22" s="828"/>
      <c r="L22" s="828"/>
      <c r="M22" s="828"/>
      <c r="N22" s="828"/>
      <c r="O22" s="828" t="s">
        <v>123</v>
      </c>
      <c r="P22" s="828"/>
      <c r="Q22" s="828"/>
      <c r="R22" s="828"/>
      <c r="S22" s="828"/>
      <c r="T22" s="828"/>
      <c r="U22" s="828"/>
      <c r="V22" s="828"/>
      <c r="W22" s="874"/>
    </row>
    <row r="23" spans="2:23" ht="19.5" customHeight="1" x14ac:dyDescent="0.25">
      <c r="B23" s="826"/>
      <c r="C23" s="827"/>
      <c r="D23" s="827"/>
      <c r="E23" s="827"/>
      <c r="F23" s="827" t="s">
        <v>175</v>
      </c>
      <c r="G23" s="827" t="s">
        <v>176</v>
      </c>
      <c r="H23" s="827" t="s">
        <v>177</v>
      </c>
      <c r="I23" s="827" t="s">
        <v>178</v>
      </c>
      <c r="J23" s="827" t="s">
        <v>179</v>
      </c>
      <c r="K23" s="827" t="s">
        <v>180</v>
      </c>
      <c r="L23" s="827" t="s">
        <v>181</v>
      </c>
      <c r="M23" s="827" t="s">
        <v>182</v>
      </c>
      <c r="N23" s="827" t="s">
        <v>183</v>
      </c>
      <c r="O23" s="827" t="s">
        <v>175</v>
      </c>
      <c r="P23" s="827" t="s">
        <v>176</v>
      </c>
      <c r="Q23" s="827" t="s">
        <v>177</v>
      </c>
      <c r="R23" s="827" t="s">
        <v>178</v>
      </c>
      <c r="S23" s="827" t="s">
        <v>179</v>
      </c>
      <c r="T23" s="827" t="s">
        <v>180</v>
      </c>
      <c r="U23" s="827" t="s">
        <v>181</v>
      </c>
      <c r="V23" s="827" t="s">
        <v>182</v>
      </c>
      <c r="W23" s="1004" t="s">
        <v>183</v>
      </c>
    </row>
    <row r="24" spans="2:23" ht="19.5" customHeight="1" x14ac:dyDescent="0.25">
      <c r="B24" s="826"/>
      <c r="C24" s="827"/>
      <c r="D24" s="827"/>
      <c r="E24" s="827"/>
      <c r="F24" s="827"/>
      <c r="G24" s="827"/>
      <c r="H24" s="827"/>
      <c r="I24" s="827"/>
      <c r="J24" s="827"/>
      <c r="K24" s="827"/>
      <c r="L24" s="827"/>
      <c r="M24" s="827"/>
      <c r="N24" s="827"/>
      <c r="O24" s="827"/>
      <c r="P24" s="827"/>
      <c r="Q24" s="827"/>
      <c r="R24" s="827"/>
      <c r="S24" s="827"/>
      <c r="T24" s="827"/>
      <c r="U24" s="827"/>
      <c r="V24" s="827"/>
      <c r="W24" s="1004"/>
    </row>
    <row r="25" spans="2:23" ht="19.5" customHeight="1" x14ac:dyDescent="0.25">
      <c r="B25" s="746"/>
      <c r="C25" s="745"/>
      <c r="D25" s="745" t="s">
        <v>260</v>
      </c>
      <c r="E25" s="745"/>
      <c r="F25" s="184"/>
      <c r="G25" s="184"/>
      <c r="H25" s="184"/>
      <c r="I25" s="184"/>
      <c r="J25" s="184"/>
      <c r="K25" s="184"/>
      <c r="L25" s="184"/>
      <c r="M25" s="184"/>
      <c r="N25" s="184"/>
      <c r="O25" s="131" t="str">
        <f>IF(F25="","",IF(ABS(F25-$I$13)&gt;$H$14,"NOT OK", "OK"))</f>
        <v/>
      </c>
      <c r="P25" s="131" t="str">
        <f>IF(G25="","",IF(ABS(G25-$J$13)&gt;$H$14,"NOT OK", "OK"))</f>
        <v/>
      </c>
      <c r="Q25" s="131" t="str">
        <f>IF(H25="","",IF(ABS(H25-$K$13)&gt;$H$14,"NOT OK", "OK"))</f>
        <v/>
      </c>
      <c r="R25" s="131" t="str">
        <f>IF(I25="","",IF(ABS(I25-$L$13)&gt;$H$14,"NOT OK", "OK"))</f>
        <v/>
      </c>
      <c r="S25" s="131" t="str">
        <f>IF(J25="","",IF(ABS(J25-$M$13)&gt;$H$14,"NOT OK", "OK"))</f>
        <v/>
      </c>
      <c r="T25" s="131" t="str">
        <f>IF(K25="","",IF(ABS(K25-$N$13)&gt;$H$14,"NOT OK", "OK"))</f>
        <v/>
      </c>
      <c r="U25" s="131" t="str">
        <f>IF(L25="","",IF(ABS(L25-$O$13)&gt;$H$14,"NOT OK", "OK"))</f>
        <v/>
      </c>
      <c r="V25" s="131" t="str">
        <f>IF(M25="","",IF(ABS(M25-$P$13)&gt;$H$14,"NOT OK", "OK"))</f>
        <v/>
      </c>
      <c r="W25" s="132" t="str">
        <f>IF(N25="","",IF(ABS(N25-$Q$13)&gt;$H$14,"NOT OK", "OK"))</f>
        <v/>
      </c>
    </row>
    <row r="26" spans="2:23" ht="19.5" customHeight="1" x14ac:dyDescent="0.25">
      <c r="B26" s="746"/>
      <c r="C26" s="745"/>
      <c r="D26" s="745" t="s">
        <v>261</v>
      </c>
      <c r="E26" s="745"/>
      <c r="F26" s="184"/>
      <c r="G26" s="184"/>
      <c r="H26" s="184"/>
      <c r="I26" s="184"/>
      <c r="J26" s="184"/>
      <c r="K26" s="184"/>
      <c r="L26" s="184"/>
      <c r="M26" s="184"/>
      <c r="N26" s="184"/>
      <c r="O26" s="131" t="str">
        <f t="shared" ref="O26:O33" si="1">IF(F26="","",IF(ABS(F26-$I$13)&gt;$H$14,"NOT OK", "OK"))</f>
        <v/>
      </c>
      <c r="P26" s="131" t="str">
        <f t="shared" ref="P26:P34" si="2">IF(G26="","",IF(ABS(G26-$J$13)&gt;$H$14,"NOT OK", "OK"))</f>
        <v/>
      </c>
      <c r="Q26" s="131" t="str">
        <f t="shared" ref="Q26:Q34" si="3">IF(H26="","",IF(ABS(H26-$K$13)&gt;$H$14,"NOT OK", "OK"))</f>
        <v/>
      </c>
      <c r="R26" s="131" t="str">
        <f t="shared" ref="R26:R34" si="4">IF(I26="","",IF(ABS(I26-$L$13)&gt;$H$14,"NOT OK", "OK"))</f>
        <v/>
      </c>
      <c r="S26" s="131" t="str">
        <f t="shared" ref="S26:S34" si="5">IF(J26="","",IF(ABS(J26-$M$13)&gt;$H$14,"NOT OK", "OK"))</f>
        <v/>
      </c>
      <c r="T26" s="131" t="str">
        <f t="shared" ref="T26:T34" si="6">IF(K26="","",IF(ABS(K26-$N$13)&gt;$H$14,"NOT OK", "OK"))</f>
        <v/>
      </c>
      <c r="U26" s="131" t="str">
        <f t="shared" ref="U26:U34" si="7">IF(L26="","",IF(ABS(L26-$O$13)&gt;$H$14,"NOT OK", "OK"))</f>
        <v/>
      </c>
      <c r="V26" s="131" t="str">
        <f t="shared" ref="V26:V34" si="8">IF(M26="","",IF(ABS(M26-$P$13)&gt;$H$14,"NOT OK", "OK"))</f>
        <v/>
      </c>
      <c r="W26" s="132" t="str">
        <f t="shared" ref="W26:W34" si="9">IF(N26="","",IF(ABS(N26-$Q$13)&gt;$H$14,"NOT OK", "OK"))</f>
        <v/>
      </c>
    </row>
    <row r="27" spans="2:23" ht="19.5" customHeight="1" x14ac:dyDescent="0.25">
      <c r="B27" s="746"/>
      <c r="C27" s="745"/>
      <c r="D27" s="745" t="s">
        <v>262</v>
      </c>
      <c r="E27" s="745"/>
      <c r="F27" s="184"/>
      <c r="G27" s="184"/>
      <c r="H27" s="184"/>
      <c r="I27" s="184"/>
      <c r="J27" s="184"/>
      <c r="K27" s="184"/>
      <c r="L27" s="184"/>
      <c r="M27" s="184"/>
      <c r="N27" s="184"/>
      <c r="O27" s="131" t="str">
        <f t="shared" si="1"/>
        <v/>
      </c>
      <c r="P27" s="131" t="str">
        <f t="shared" si="2"/>
        <v/>
      </c>
      <c r="Q27" s="131" t="str">
        <f t="shared" si="3"/>
        <v/>
      </c>
      <c r="R27" s="131" t="str">
        <f t="shared" si="4"/>
        <v/>
      </c>
      <c r="S27" s="131" t="str">
        <f t="shared" si="5"/>
        <v/>
      </c>
      <c r="T27" s="131" t="str">
        <f t="shared" si="6"/>
        <v/>
      </c>
      <c r="U27" s="131" t="str">
        <f t="shared" si="7"/>
        <v/>
      </c>
      <c r="V27" s="131" t="str">
        <f t="shared" si="8"/>
        <v/>
      </c>
      <c r="W27" s="132" t="str">
        <f t="shared" si="9"/>
        <v/>
      </c>
    </row>
    <row r="28" spans="2:23" ht="19.5" customHeight="1" x14ac:dyDescent="0.25">
      <c r="B28" s="746"/>
      <c r="C28" s="745"/>
      <c r="D28" s="745" t="s">
        <v>263</v>
      </c>
      <c r="E28" s="745"/>
      <c r="F28" s="184"/>
      <c r="G28" s="184"/>
      <c r="H28" s="184"/>
      <c r="I28" s="184"/>
      <c r="J28" s="184"/>
      <c r="K28" s="184"/>
      <c r="L28" s="184"/>
      <c r="M28" s="184"/>
      <c r="N28" s="184"/>
      <c r="O28" s="131" t="str">
        <f t="shared" si="1"/>
        <v/>
      </c>
      <c r="P28" s="131" t="str">
        <f t="shared" si="2"/>
        <v/>
      </c>
      <c r="Q28" s="131" t="str">
        <f t="shared" si="3"/>
        <v/>
      </c>
      <c r="R28" s="131" t="str">
        <f t="shared" si="4"/>
        <v/>
      </c>
      <c r="S28" s="131" t="str">
        <f t="shared" si="5"/>
        <v/>
      </c>
      <c r="T28" s="131" t="str">
        <f t="shared" si="6"/>
        <v/>
      </c>
      <c r="U28" s="131" t="str">
        <f t="shared" si="7"/>
        <v/>
      </c>
      <c r="V28" s="131" t="str">
        <f t="shared" si="8"/>
        <v/>
      </c>
      <c r="W28" s="132" t="str">
        <f t="shared" si="9"/>
        <v/>
      </c>
    </row>
    <row r="29" spans="2:23" ht="19.5" customHeight="1" x14ac:dyDescent="0.25">
      <c r="B29" s="746"/>
      <c r="C29" s="745"/>
      <c r="D29" s="745" t="s">
        <v>264</v>
      </c>
      <c r="E29" s="745"/>
      <c r="F29" s="184"/>
      <c r="G29" s="184"/>
      <c r="H29" s="184"/>
      <c r="I29" s="184"/>
      <c r="J29" s="184"/>
      <c r="K29" s="184"/>
      <c r="L29" s="184"/>
      <c r="M29" s="184"/>
      <c r="N29" s="184"/>
      <c r="O29" s="131" t="str">
        <f t="shared" si="1"/>
        <v/>
      </c>
      <c r="P29" s="131" t="str">
        <f t="shared" si="2"/>
        <v/>
      </c>
      <c r="Q29" s="131" t="str">
        <f t="shared" si="3"/>
        <v/>
      </c>
      <c r="R29" s="131" t="str">
        <f t="shared" si="4"/>
        <v/>
      </c>
      <c r="S29" s="131" t="str">
        <f t="shared" si="5"/>
        <v/>
      </c>
      <c r="T29" s="131" t="str">
        <f t="shared" si="6"/>
        <v/>
      </c>
      <c r="U29" s="131" t="str">
        <f t="shared" si="7"/>
        <v/>
      </c>
      <c r="V29" s="131" t="str">
        <f t="shared" si="8"/>
        <v/>
      </c>
      <c r="W29" s="132" t="str">
        <f t="shared" si="9"/>
        <v/>
      </c>
    </row>
    <row r="30" spans="2:23" ht="19.5" customHeight="1" x14ac:dyDescent="0.25">
      <c r="B30" s="746"/>
      <c r="C30" s="745"/>
      <c r="D30" s="745" t="s">
        <v>265</v>
      </c>
      <c r="E30" s="745"/>
      <c r="F30" s="184"/>
      <c r="G30" s="184"/>
      <c r="H30" s="184"/>
      <c r="I30" s="184"/>
      <c r="J30" s="184"/>
      <c r="K30" s="184"/>
      <c r="L30" s="184"/>
      <c r="M30" s="184"/>
      <c r="N30" s="184"/>
      <c r="O30" s="131" t="str">
        <f t="shared" si="1"/>
        <v/>
      </c>
      <c r="P30" s="131" t="str">
        <f t="shared" si="2"/>
        <v/>
      </c>
      <c r="Q30" s="131" t="str">
        <f t="shared" si="3"/>
        <v/>
      </c>
      <c r="R30" s="131" t="str">
        <f t="shared" si="4"/>
        <v/>
      </c>
      <c r="S30" s="131" t="str">
        <f t="shared" si="5"/>
        <v/>
      </c>
      <c r="T30" s="131" t="str">
        <f t="shared" si="6"/>
        <v/>
      </c>
      <c r="U30" s="131" t="str">
        <f t="shared" si="7"/>
        <v/>
      </c>
      <c r="V30" s="131" t="str">
        <f t="shared" si="8"/>
        <v/>
      </c>
      <c r="W30" s="132" t="str">
        <f t="shared" si="9"/>
        <v/>
      </c>
    </row>
    <row r="31" spans="2:23" ht="19.5" customHeight="1" x14ac:dyDescent="0.25">
      <c r="B31" s="746"/>
      <c r="C31" s="745"/>
      <c r="D31" s="745" t="s">
        <v>266</v>
      </c>
      <c r="E31" s="745"/>
      <c r="F31" s="184"/>
      <c r="G31" s="184"/>
      <c r="H31" s="184"/>
      <c r="I31" s="184"/>
      <c r="J31" s="184"/>
      <c r="K31" s="184"/>
      <c r="L31" s="184"/>
      <c r="M31" s="184"/>
      <c r="N31" s="184"/>
      <c r="O31" s="131" t="str">
        <f t="shared" si="1"/>
        <v/>
      </c>
      <c r="P31" s="131" t="str">
        <f t="shared" si="2"/>
        <v/>
      </c>
      <c r="Q31" s="131" t="str">
        <f t="shared" si="3"/>
        <v/>
      </c>
      <c r="R31" s="131" t="str">
        <f t="shared" si="4"/>
        <v/>
      </c>
      <c r="S31" s="131" t="str">
        <f t="shared" si="5"/>
        <v/>
      </c>
      <c r="T31" s="131" t="str">
        <f t="shared" si="6"/>
        <v/>
      </c>
      <c r="U31" s="131" t="str">
        <f t="shared" si="7"/>
        <v/>
      </c>
      <c r="V31" s="131" t="str">
        <f t="shared" si="8"/>
        <v/>
      </c>
      <c r="W31" s="132" t="str">
        <f t="shared" si="9"/>
        <v/>
      </c>
    </row>
    <row r="32" spans="2:23" ht="19.5" customHeight="1" x14ac:dyDescent="0.25">
      <c r="B32" s="746"/>
      <c r="C32" s="745"/>
      <c r="D32" s="745" t="s">
        <v>267</v>
      </c>
      <c r="E32" s="745"/>
      <c r="F32" s="184"/>
      <c r="G32" s="184"/>
      <c r="H32" s="184"/>
      <c r="I32" s="184"/>
      <c r="J32" s="184"/>
      <c r="K32" s="184"/>
      <c r="L32" s="184"/>
      <c r="M32" s="184"/>
      <c r="N32" s="184"/>
      <c r="O32" s="131" t="str">
        <f t="shared" si="1"/>
        <v/>
      </c>
      <c r="P32" s="131" t="str">
        <f t="shared" si="2"/>
        <v/>
      </c>
      <c r="Q32" s="131" t="str">
        <f t="shared" si="3"/>
        <v/>
      </c>
      <c r="R32" s="131" t="str">
        <f t="shared" si="4"/>
        <v/>
      </c>
      <c r="S32" s="131" t="str">
        <f t="shared" si="5"/>
        <v/>
      </c>
      <c r="T32" s="131" t="str">
        <f t="shared" si="6"/>
        <v/>
      </c>
      <c r="U32" s="131" t="str">
        <f t="shared" si="7"/>
        <v/>
      </c>
      <c r="V32" s="131" t="str">
        <f t="shared" si="8"/>
        <v/>
      </c>
      <c r="W32" s="132" t="str">
        <f t="shared" si="9"/>
        <v/>
      </c>
    </row>
    <row r="33" spans="2:23" ht="19.5" customHeight="1" x14ac:dyDescent="0.25">
      <c r="B33" s="746"/>
      <c r="C33" s="745"/>
      <c r="D33" s="745" t="s">
        <v>268</v>
      </c>
      <c r="E33" s="745"/>
      <c r="F33" s="184"/>
      <c r="G33" s="184"/>
      <c r="H33" s="184"/>
      <c r="I33" s="184"/>
      <c r="J33" s="184"/>
      <c r="K33" s="184"/>
      <c r="L33" s="184"/>
      <c r="M33" s="184"/>
      <c r="N33" s="184"/>
      <c r="O33" s="131" t="str">
        <f t="shared" si="1"/>
        <v/>
      </c>
      <c r="P33" s="131" t="str">
        <f t="shared" si="2"/>
        <v/>
      </c>
      <c r="Q33" s="131" t="str">
        <f t="shared" si="3"/>
        <v/>
      </c>
      <c r="R33" s="131" t="str">
        <f t="shared" si="4"/>
        <v/>
      </c>
      <c r="S33" s="131" t="str">
        <f t="shared" si="5"/>
        <v/>
      </c>
      <c r="T33" s="131" t="str">
        <f t="shared" si="6"/>
        <v/>
      </c>
      <c r="U33" s="131" t="str">
        <f t="shared" si="7"/>
        <v/>
      </c>
      <c r="V33" s="131" t="str">
        <f t="shared" si="8"/>
        <v/>
      </c>
      <c r="W33" s="132" t="str">
        <f t="shared" si="9"/>
        <v/>
      </c>
    </row>
    <row r="34" spans="2:23" ht="19.5" customHeight="1" thickBot="1" x14ac:dyDescent="0.3">
      <c r="B34" s="746"/>
      <c r="C34" s="745"/>
      <c r="D34" s="745" t="s">
        <v>269</v>
      </c>
      <c r="E34" s="745"/>
      <c r="F34" s="184"/>
      <c r="G34" s="184"/>
      <c r="H34" s="184"/>
      <c r="I34" s="184"/>
      <c r="J34" s="184"/>
      <c r="K34" s="184"/>
      <c r="L34" s="184"/>
      <c r="M34" s="184"/>
      <c r="N34" s="184"/>
      <c r="O34" s="133" t="str">
        <f>IF(F34="","",IF(ABS(F34-$I$13)&gt;$H$14,"NOT OK", "OK"))</f>
        <v/>
      </c>
      <c r="P34" s="133" t="str">
        <f t="shared" si="2"/>
        <v/>
      </c>
      <c r="Q34" s="133" t="str">
        <f t="shared" si="3"/>
        <v/>
      </c>
      <c r="R34" s="133" t="str">
        <f t="shared" si="4"/>
        <v/>
      </c>
      <c r="S34" s="133" t="str">
        <f t="shared" si="5"/>
        <v/>
      </c>
      <c r="T34" s="133" t="str">
        <f t="shared" si="6"/>
        <v/>
      </c>
      <c r="U34" s="133" t="str">
        <f t="shared" si="7"/>
        <v/>
      </c>
      <c r="V34" s="133" t="str">
        <f t="shared" si="8"/>
        <v/>
      </c>
      <c r="W34" s="134" t="str">
        <f t="shared" si="9"/>
        <v/>
      </c>
    </row>
    <row r="35" spans="2:23" ht="19.5" customHeight="1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spans="2:23" ht="19.5" customHeight="1" thickBot="1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spans="2:23" ht="19.5" customHeight="1" x14ac:dyDescent="0.25">
      <c r="B37" s="824" t="s">
        <v>28</v>
      </c>
      <c r="C37" s="825"/>
      <c r="D37" s="825" t="s">
        <v>122</v>
      </c>
      <c r="E37" s="825"/>
      <c r="F37" s="828" t="s">
        <v>1</v>
      </c>
      <c r="G37" s="828"/>
      <c r="H37" s="828"/>
      <c r="I37" s="828"/>
      <c r="J37" s="828"/>
      <c r="K37" s="828"/>
      <c r="L37" s="828"/>
      <c r="M37" s="828"/>
      <c r="N37" s="828"/>
      <c r="O37" s="828" t="s">
        <v>124</v>
      </c>
      <c r="P37" s="828"/>
      <c r="Q37" s="828"/>
      <c r="R37" s="828"/>
      <c r="S37" s="828"/>
      <c r="T37" s="828"/>
      <c r="U37" s="828"/>
      <c r="V37" s="828"/>
      <c r="W37" s="874"/>
    </row>
    <row r="38" spans="2:23" ht="19.5" customHeight="1" x14ac:dyDescent="0.25">
      <c r="B38" s="826"/>
      <c r="C38" s="827"/>
      <c r="D38" s="827"/>
      <c r="E38" s="827"/>
      <c r="F38" s="827" t="s">
        <v>175</v>
      </c>
      <c r="G38" s="827" t="s">
        <v>176</v>
      </c>
      <c r="H38" s="827" t="s">
        <v>177</v>
      </c>
      <c r="I38" s="827" t="s">
        <v>178</v>
      </c>
      <c r="J38" s="827" t="s">
        <v>179</v>
      </c>
      <c r="K38" s="827" t="s">
        <v>180</v>
      </c>
      <c r="L38" s="827" t="s">
        <v>181</v>
      </c>
      <c r="M38" s="827" t="s">
        <v>182</v>
      </c>
      <c r="N38" s="827" t="s">
        <v>183</v>
      </c>
      <c r="O38" s="827" t="s">
        <v>175</v>
      </c>
      <c r="P38" s="827" t="s">
        <v>176</v>
      </c>
      <c r="Q38" s="827" t="s">
        <v>177</v>
      </c>
      <c r="R38" s="827" t="s">
        <v>178</v>
      </c>
      <c r="S38" s="827" t="s">
        <v>179</v>
      </c>
      <c r="T38" s="827" t="s">
        <v>180</v>
      </c>
      <c r="U38" s="827" t="s">
        <v>181</v>
      </c>
      <c r="V38" s="827" t="s">
        <v>182</v>
      </c>
      <c r="W38" s="1004" t="s">
        <v>183</v>
      </c>
    </row>
    <row r="39" spans="2:23" ht="19.5" customHeight="1" x14ac:dyDescent="0.25">
      <c r="B39" s="826"/>
      <c r="C39" s="827"/>
      <c r="D39" s="827"/>
      <c r="E39" s="827"/>
      <c r="F39" s="827"/>
      <c r="G39" s="827"/>
      <c r="H39" s="827"/>
      <c r="I39" s="827"/>
      <c r="J39" s="827"/>
      <c r="K39" s="827"/>
      <c r="L39" s="827"/>
      <c r="M39" s="827"/>
      <c r="N39" s="827"/>
      <c r="O39" s="827"/>
      <c r="P39" s="827"/>
      <c r="Q39" s="827"/>
      <c r="R39" s="827"/>
      <c r="S39" s="827"/>
      <c r="T39" s="827"/>
      <c r="U39" s="827"/>
      <c r="V39" s="827"/>
      <c r="W39" s="1004"/>
    </row>
    <row r="40" spans="2:23" ht="19.5" customHeight="1" x14ac:dyDescent="0.25">
      <c r="B40" s="746"/>
      <c r="C40" s="745"/>
      <c r="D40" s="745" t="s">
        <v>260</v>
      </c>
      <c r="E40" s="745"/>
      <c r="F40" s="184"/>
      <c r="G40" s="184"/>
      <c r="H40" s="184"/>
      <c r="I40" s="184"/>
      <c r="J40" s="184"/>
      <c r="K40" s="184"/>
      <c r="L40" s="184"/>
      <c r="M40" s="184"/>
      <c r="N40" s="184"/>
      <c r="O40" s="131" t="str">
        <f>IF(F40="","",IF(ABS(F40-$I$13)&gt;$H$14,"NOT OK", "OK"))</f>
        <v/>
      </c>
      <c r="P40" s="131" t="str">
        <f>IF(G40="","",IF(ABS(G40-$J$13)&gt;$H$14,"NOT OK", "OK"))</f>
        <v/>
      </c>
      <c r="Q40" s="131" t="str">
        <f>IF(H40="","",IF(ABS(H40-$K$13)&gt;$H$14,"NOT OK", "OK"))</f>
        <v/>
      </c>
      <c r="R40" s="131" t="str">
        <f>IF(I40="","",IF(ABS(I40-$L$13)&gt;$H$14,"NOT OK", "OK"))</f>
        <v/>
      </c>
      <c r="S40" s="131" t="str">
        <f>IF(J40="","",IF(ABS(J40-$M$13)&gt;$H$14,"NOT OK", "OK"))</f>
        <v/>
      </c>
      <c r="T40" s="131" t="str">
        <f>IF(K40="","",IF(ABS(K40-$N$13)&gt;$H$14,"NOT OK", "OK"))</f>
        <v/>
      </c>
      <c r="U40" s="131" t="str">
        <f>IF(L40="","",IF(ABS(L40-$O$13)&gt;$H$14,"NOT OK", "OK"))</f>
        <v/>
      </c>
      <c r="V40" s="131" t="str">
        <f>IF(M40="","",IF(ABS(M40-$P$13)&gt;$H$14,"NOT OK", "OK"))</f>
        <v/>
      </c>
      <c r="W40" s="132" t="str">
        <f>IF(N40="","",IF(ABS(N40-$Q$13)&gt;$H$14,"NOT OK", "OK"))</f>
        <v/>
      </c>
    </row>
    <row r="41" spans="2:23" ht="19.5" customHeight="1" x14ac:dyDescent="0.25">
      <c r="B41" s="746"/>
      <c r="C41" s="745"/>
      <c r="D41" s="745" t="s">
        <v>261</v>
      </c>
      <c r="E41" s="745"/>
      <c r="F41" s="184"/>
      <c r="G41" s="184"/>
      <c r="H41" s="184"/>
      <c r="I41" s="184"/>
      <c r="J41" s="184"/>
      <c r="K41" s="184"/>
      <c r="L41" s="184"/>
      <c r="M41" s="184"/>
      <c r="N41" s="184"/>
      <c r="O41" s="131" t="str">
        <f t="shared" ref="O41:O48" si="10">IF(F41="","",IF(ABS(F41-$I$13)&gt;$H$14,"NOT OK", "OK"))</f>
        <v/>
      </c>
      <c r="P41" s="131" t="str">
        <f t="shared" ref="P41:P49" si="11">IF(G41="","",IF(ABS(G41-$J$13)&gt;$H$14,"NOT OK", "OK"))</f>
        <v/>
      </c>
      <c r="Q41" s="131" t="str">
        <f t="shared" ref="Q41:Q49" si="12">IF(H41="","",IF(ABS(H41-$K$13)&gt;$H$14,"NOT OK", "OK"))</f>
        <v/>
      </c>
      <c r="R41" s="131" t="str">
        <f t="shared" ref="R41:R49" si="13">IF(I41="","",IF(ABS(I41-$L$13)&gt;$H$14,"NOT OK", "OK"))</f>
        <v/>
      </c>
      <c r="S41" s="131" t="str">
        <f t="shared" ref="S41:S49" si="14">IF(J41="","",IF(ABS(J41-$M$13)&gt;$H$14,"NOT OK", "OK"))</f>
        <v/>
      </c>
      <c r="T41" s="131" t="str">
        <f t="shared" ref="T41:T49" si="15">IF(K41="","",IF(ABS(K41-$N$13)&gt;$H$14,"NOT OK", "OK"))</f>
        <v/>
      </c>
      <c r="U41" s="131" t="str">
        <f t="shared" ref="U41:U49" si="16">IF(L41="","",IF(ABS(L41-$O$13)&gt;$H$14,"NOT OK", "OK"))</f>
        <v/>
      </c>
      <c r="V41" s="131" t="str">
        <f t="shared" ref="V41:V49" si="17">IF(M41="","",IF(ABS(M41-$P$13)&gt;$H$14,"NOT OK", "OK"))</f>
        <v/>
      </c>
      <c r="W41" s="132" t="str">
        <f t="shared" ref="W41:W49" si="18">IF(N41="","",IF(ABS(N41-$Q$13)&gt;$H$14,"NOT OK", "OK"))</f>
        <v/>
      </c>
    </row>
    <row r="42" spans="2:23" ht="19.5" customHeight="1" x14ac:dyDescent="0.25">
      <c r="B42" s="746"/>
      <c r="C42" s="745"/>
      <c r="D42" s="745" t="s">
        <v>262</v>
      </c>
      <c r="E42" s="745"/>
      <c r="F42" s="184"/>
      <c r="G42" s="184"/>
      <c r="H42" s="184"/>
      <c r="I42" s="184"/>
      <c r="J42" s="184"/>
      <c r="K42" s="184"/>
      <c r="L42" s="184"/>
      <c r="M42" s="184"/>
      <c r="N42" s="184"/>
      <c r="O42" s="131" t="str">
        <f t="shared" si="10"/>
        <v/>
      </c>
      <c r="P42" s="131" t="str">
        <f t="shared" si="11"/>
        <v/>
      </c>
      <c r="Q42" s="131" t="str">
        <f t="shared" si="12"/>
        <v/>
      </c>
      <c r="R42" s="131" t="str">
        <f>IF(I42="","",IF(ABS(I42-$L$13)&gt;$H$14,"NOT OK", "OK"))</f>
        <v/>
      </c>
      <c r="S42" s="131" t="str">
        <f t="shared" si="14"/>
        <v/>
      </c>
      <c r="T42" s="131" t="str">
        <f t="shared" si="15"/>
        <v/>
      </c>
      <c r="U42" s="131" t="str">
        <f t="shared" si="16"/>
        <v/>
      </c>
      <c r="V42" s="131" t="str">
        <f t="shared" si="17"/>
        <v/>
      </c>
      <c r="W42" s="132" t="str">
        <f t="shared" si="18"/>
        <v/>
      </c>
    </row>
    <row r="43" spans="2:23" ht="19.5" customHeight="1" x14ac:dyDescent="0.25">
      <c r="B43" s="746"/>
      <c r="C43" s="745"/>
      <c r="D43" s="745" t="s">
        <v>263</v>
      </c>
      <c r="E43" s="745"/>
      <c r="F43" s="184"/>
      <c r="G43" s="184"/>
      <c r="H43" s="184"/>
      <c r="I43" s="184"/>
      <c r="J43" s="184"/>
      <c r="K43" s="184"/>
      <c r="L43" s="184"/>
      <c r="M43" s="184"/>
      <c r="N43" s="184"/>
      <c r="O43" s="131" t="str">
        <f t="shared" si="10"/>
        <v/>
      </c>
      <c r="P43" s="131" t="str">
        <f t="shared" si="11"/>
        <v/>
      </c>
      <c r="Q43" s="131" t="str">
        <f t="shared" si="12"/>
        <v/>
      </c>
      <c r="R43" s="131" t="str">
        <f t="shared" si="13"/>
        <v/>
      </c>
      <c r="S43" s="131" t="str">
        <f t="shared" si="14"/>
        <v/>
      </c>
      <c r="T43" s="131" t="str">
        <f t="shared" si="15"/>
        <v/>
      </c>
      <c r="U43" s="131" t="str">
        <f t="shared" si="16"/>
        <v/>
      </c>
      <c r="V43" s="131" t="str">
        <f t="shared" si="17"/>
        <v/>
      </c>
      <c r="W43" s="132" t="str">
        <f t="shared" si="18"/>
        <v/>
      </c>
    </row>
    <row r="44" spans="2:23" ht="19.5" customHeight="1" x14ac:dyDescent="0.25">
      <c r="B44" s="746"/>
      <c r="C44" s="745"/>
      <c r="D44" s="745" t="s">
        <v>264</v>
      </c>
      <c r="E44" s="745"/>
      <c r="F44" s="184"/>
      <c r="G44" s="184"/>
      <c r="H44" s="184"/>
      <c r="I44" s="184"/>
      <c r="J44" s="184"/>
      <c r="K44" s="184"/>
      <c r="L44" s="184"/>
      <c r="M44" s="184"/>
      <c r="N44" s="184"/>
      <c r="O44" s="131" t="str">
        <f t="shared" si="10"/>
        <v/>
      </c>
      <c r="P44" s="131" t="str">
        <f t="shared" si="11"/>
        <v/>
      </c>
      <c r="Q44" s="131" t="str">
        <f t="shared" si="12"/>
        <v/>
      </c>
      <c r="R44" s="131" t="str">
        <f t="shared" si="13"/>
        <v/>
      </c>
      <c r="S44" s="131" t="str">
        <f t="shared" si="14"/>
        <v/>
      </c>
      <c r="T44" s="131" t="str">
        <f t="shared" si="15"/>
        <v/>
      </c>
      <c r="U44" s="131" t="str">
        <f t="shared" si="16"/>
        <v/>
      </c>
      <c r="V44" s="131" t="str">
        <f t="shared" si="17"/>
        <v/>
      </c>
      <c r="W44" s="132" t="str">
        <f t="shared" si="18"/>
        <v/>
      </c>
    </row>
    <row r="45" spans="2:23" ht="19.5" customHeight="1" x14ac:dyDescent="0.25">
      <c r="B45" s="746"/>
      <c r="C45" s="745"/>
      <c r="D45" s="745" t="s">
        <v>265</v>
      </c>
      <c r="E45" s="745"/>
      <c r="F45" s="184"/>
      <c r="G45" s="184"/>
      <c r="H45" s="184"/>
      <c r="I45" s="184"/>
      <c r="J45" s="184"/>
      <c r="K45" s="184"/>
      <c r="L45" s="184"/>
      <c r="M45" s="184"/>
      <c r="N45" s="184"/>
      <c r="O45" s="131" t="str">
        <f t="shared" si="10"/>
        <v/>
      </c>
      <c r="P45" s="131" t="str">
        <f t="shared" si="11"/>
        <v/>
      </c>
      <c r="Q45" s="131" t="str">
        <f t="shared" si="12"/>
        <v/>
      </c>
      <c r="R45" s="131" t="str">
        <f t="shared" si="13"/>
        <v/>
      </c>
      <c r="S45" s="131" t="str">
        <f t="shared" si="14"/>
        <v/>
      </c>
      <c r="T45" s="131" t="str">
        <f t="shared" si="15"/>
        <v/>
      </c>
      <c r="U45" s="131" t="str">
        <f t="shared" si="16"/>
        <v/>
      </c>
      <c r="V45" s="131" t="str">
        <f t="shared" si="17"/>
        <v/>
      </c>
      <c r="W45" s="132" t="str">
        <f t="shared" si="18"/>
        <v/>
      </c>
    </row>
    <row r="46" spans="2:23" ht="19.5" customHeight="1" x14ac:dyDescent="0.25">
      <c r="B46" s="746"/>
      <c r="C46" s="745"/>
      <c r="D46" s="745" t="s">
        <v>266</v>
      </c>
      <c r="E46" s="745"/>
      <c r="F46" s="184"/>
      <c r="G46" s="184"/>
      <c r="H46" s="184"/>
      <c r="I46" s="184"/>
      <c r="J46" s="184"/>
      <c r="K46" s="184"/>
      <c r="L46" s="184"/>
      <c r="M46" s="184"/>
      <c r="N46" s="184"/>
      <c r="O46" s="131" t="str">
        <f t="shared" si="10"/>
        <v/>
      </c>
      <c r="P46" s="131" t="str">
        <f t="shared" si="11"/>
        <v/>
      </c>
      <c r="Q46" s="131" t="str">
        <f t="shared" si="12"/>
        <v/>
      </c>
      <c r="R46" s="131" t="str">
        <f t="shared" si="13"/>
        <v/>
      </c>
      <c r="S46" s="131" t="str">
        <f t="shared" si="14"/>
        <v/>
      </c>
      <c r="T46" s="131" t="str">
        <f t="shared" si="15"/>
        <v/>
      </c>
      <c r="U46" s="131" t="str">
        <f t="shared" si="16"/>
        <v/>
      </c>
      <c r="V46" s="131" t="str">
        <f t="shared" si="17"/>
        <v/>
      </c>
      <c r="W46" s="132" t="str">
        <f t="shared" si="18"/>
        <v/>
      </c>
    </row>
    <row r="47" spans="2:23" ht="19.5" customHeight="1" x14ac:dyDescent="0.25">
      <c r="B47" s="746"/>
      <c r="C47" s="745"/>
      <c r="D47" s="745" t="s">
        <v>267</v>
      </c>
      <c r="E47" s="745"/>
      <c r="F47" s="184"/>
      <c r="G47" s="184"/>
      <c r="H47" s="184"/>
      <c r="I47" s="184"/>
      <c r="J47" s="184"/>
      <c r="K47" s="184"/>
      <c r="L47" s="184"/>
      <c r="M47" s="184"/>
      <c r="N47" s="184"/>
      <c r="O47" s="131" t="str">
        <f t="shared" si="10"/>
        <v/>
      </c>
      <c r="P47" s="131" t="str">
        <f t="shared" si="11"/>
        <v/>
      </c>
      <c r="Q47" s="131" t="str">
        <f t="shared" si="12"/>
        <v/>
      </c>
      <c r="R47" s="131" t="str">
        <f t="shared" si="13"/>
        <v/>
      </c>
      <c r="S47" s="131" t="str">
        <f t="shared" si="14"/>
        <v/>
      </c>
      <c r="T47" s="131" t="str">
        <f t="shared" si="15"/>
        <v/>
      </c>
      <c r="U47" s="131" t="str">
        <f t="shared" si="16"/>
        <v/>
      </c>
      <c r="V47" s="131" t="str">
        <f t="shared" si="17"/>
        <v/>
      </c>
      <c r="W47" s="132" t="str">
        <f t="shared" si="18"/>
        <v/>
      </c>
    </row>
    <row r="48" spans="2:23" ht="19.5" customHeight="1" x14ac:dyDescent="0.25">
      <c r="B48" s="746"/>
      <c r="C48" s="745"/>
      <c r="D48" s="745" t="s">
        <v>268</v>
      </c>
      <c r="E48" s="745"/>
      <c r="F48" s="184"/>
      <c r="G48" s="184"/>
      <c r="H48" s="184"/>
      <c r="I48" s="184"/>
      <c r="J48" s="184"/>
      <c r="K48" s="184"/>
      <c r="L48" s="184"/>
      <c r="M48" s="184"/>
      <c r="N48" s="184"/>
      <c r="O48" s="131" t="str">
        <f t="shared" si="10"/>
        <v/>
      </c>
      <c r="P48" s="131" t="str">
        <f t="shared" si="11"/>
        <v/>
      </c>
      <c r="Q48" s="131" t="str">
        <f t="shared" si="12"/>
        <v/>
      </c>
      <c r="R48" s="131" t="str">
        <f t="shared" si="13"/>
        <v/>
      </c>
      <c r="S48" s="131" t="str">
        <f t="shared" si="14"/>
        <v/>
      </c>
      <c r="T48" s="131" t="str">
        <f t="shared" si="15"/>
        <v/>
      </c>
      <c r="U48" s="131" t="str">
        <f t="shared" si="16"/>
        <v/>
      </c>
      <c r="V48" s="131" t="str">
        <f t="shared" si="17"/>
        <v/>
      </c>
      <c r="W48" s="132" t="str">
        <f t="shared" si="18"/>
        <v/>
      </c>
    </row>
    <row r="49" spans="2:23" ht="19.5" customHeight="1" thickBot="1" x14ac:dyDescent="0.3">
      <c r="B49" s="746"/>
      <c r="C49" s="745"/>
      <c r="D49" s="745" t="s">
        <v>269</v>
      </c>
      <c r="E49" s="745"/>
      <c r="F49" s="184"/>
      <c r="G49" s="184"/>
      <c r="H49" s="184"/>
      <c r="I49" s="184"/>
      <c r="J49" s="184"/>
      <c r="K49" s="184"/>
      <c r="L49" s="184"/>
      <c r="M49" s="184"/>
      <c r="N49" s="184"/>
      <c r="O49" s="133" t="str">
        <f>IF(F49="","",IF(ABS(F49-$I$13)&gt;$H$14,"NOT OK", "OK"))</f>
        <v/>
      </c>
      <c r="P49" s="133" t="str">
        <f t="shared" si="11"/>
        <v/>
      </c>
      <c r="Q49" s="133" t="str">
        <f t="shared" si="12"/>
        <v/>
      </c>
      <c r="R49" s="133" t="str">
        <f t="shared" si="13"/>
        <v/>
      </c>
      <c r="S49" s="133" t="str">
        <f t="shared" si="14"/>
        <v/>
      </c>
      <c r="T49" s="133" t="str">
        <f t="shared" si="15"/>
        <v/>
      </c>
      <c r="U49" s="133" t="str">
        <f t="shared" si="16"/>
        <v/>
      </c>
      <c r="V49" s="133" t="str">
        <f t="shared" si="17"/>
        <v/>
      </c>
      <c r="W49" s="134" t="str">
        <f t="shared" si="18"/>
        <v/>
      </c>
    </row>
    <row r="50" spans="2:23" ht="19.5" customHeight="1" x14ac:dyDescent="0.25">
      <c r="B50" s="4"/>
      <c r="C50" s="4"/>
      <c r="D50" s="4"/>
      <c r="E50" s="4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spans="2:23" ht="19.5" customHeight="1" thickBot="1" x14ac:dyDescent="0.3">
      <c r="B51" s="4"/>
      <c r="C51" s="4"/>
      <c r="D51" s="4"/>
      <c r="E51" s="4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spans="2:23" ht="19.5" customHeight="1" x14ac:dyDescent="0.25">
      <c r="B52" s="79"/>
      <c r="C52" s="79"/>
      <c r="D52" s="79"/>
      <c r="E52" s="79"/>
      <c r="F52" s="863" t="s">
        <v>184</v>
      </c>
      <c r="G52" s="828"/>
      <c r="H52" s="828"/>
      <c r="I52" s="828"/>
      <c r="J52" s="828"/>
      <c r="K52" s="828"/>
      <c r="L52" s="828"/>
      <c r="M52" s="828"/>
      <c r="N52" s="874"/>
      <c r="O52" s="17"/>
      <c r="P52" s="17"/>
      <c r="Q52" s="17"/>
      <c r="R52" s="17"/>
      <c r="S52" s="17"/>
      <c r="T52" s="17"/>
      <c r="U52" s="17"/>
      <c r="V52" s="17"/>
      <c r="W52" s="17"/>
    </row>
    <row r="53" spans="2:23" ht="19.5" customHeight="1" x14ac:dyDescent="0.25">
      <c r="B53" s="79"/>
      <c r="C53" s="79"/>
      <c r="D53" s="79"/>
      <c r="E53" s="79"/>
      <c r="F53" s="826" t="s">
        <v>175</v>
      </c>
      <c r="G53" s="827" t="s">
        <v>176</v>
      </c>
      <c r="H53" s="827" t="s">
        <v>177</v>
      </c>
      <c r="I53" s="827" t="s">
        <v>178</v>
      </c>
      <c r="J53" s="827" t="s">
        <v>179</v>
      </c>
      <c r="K53" s="827" t="s">
        <v>180</v>
      </c>
      <c r="L53" s="827" t="s">
        <v>181</v>
      </c>
      <c r="M53" s="827" t="s">
        <v>182</v>
      </c>
      <c r="N53" s="1004" t="s">
        <v>183</v>
      </c>
      <c r="O53" s="17"/>
      <c r="P53" s="17"/>
      <c r="Q53" s="17"/>
      <c r="R53" s="17"/>
      <c r="S53" s="17"/>
      <c r="T53" s="17"/>
      <c r="U53" s="17"/>
      <c r="V53" s="17"/>
      <c r="W53" s="17"/>
    </row>
    <row r="54" spans="2:23" ht="19.5" customHeight="1" x14ac:dyDescent="0.25">
      <c r="B54" s="79"/>
      <c r="C54" s="79"/>
      <c r="D54" s="79"/>
      <c r="E54" s="79"/>
      <c r="F54" s="826"/>
      <c r="G54" s="827"/>
      <c r="H54" s="827"/>
      <c r="I54" s="827"/>
      <c r="J54" s="827"/>
      <c r="K54" s="827"/>
      <c r="L54" s="827"/>
      <c r="M54" s="827"/>
      <c r="N54" s="1004"/>
      <c r="O54" s="17"/>
      <c r="P54" s="17"/>
      <c r="Q54" s="17"/>
      <c r="R54" s="17"/>
      <c r="S54" s="17"/>
      <c r="T54" s="17"/>
      <c r="U54" s="17"/>
      <c r="V54" s="17"/>
      <c r="W54" s="17"/>
    </row>
    <row r="55" spans="2:23" ht="19.5" customHeight="1" x14ac:dyDescent="0.25">
      <c r="F55" s="169" t="str">
        <f>IF(OR(F25="",F40=""),"",ABS(F25-F40))</f>
        <v/>
      </c>
      <c r="G55" s="131" t="str">
        <f t="shared" ref="G55:N55" si="19">IF(OR(G25="",G40=""),"",ABS(G25-G40))</f>
        <v/>
      </c>
      <c r="H55" s="131" t="str">
        <f t="shared" si="19"/>
        <v/>
      </c>
      <c r="I55" s="131" t="str">
        <f t="shared" si="19"/>
        <v/>
      </c>
      <c r="J55" s="131" t="str">
        <f t="shared" si="19"/>
        <v/>
      </c>
      <c r="K55" s="131" t="str">
        <f t="shared" si="19"/>
        <v/>
      </c>
      <c r="L55" s="131" t="str">
        <f t="shared" si="19"/>
        <v/>
      </c>
      <c r="M55" s="131" t="str">
        <f t="shared" si="19"/>
        <v/>
      </c>
      <c r="N55" s="132" t="str">
        <f t="shared" si="19"/>
        <v/>
      </c>
      <c r="O55" s="17"/>
      <c r="P55" s="17"/>
      <c r="Q55" s="17"/>
      <c r="R55" s="17"/>
      <c r="S55" s="17"/>
      <c r="T55" s="17"/>
      <c r="U55" s="17"/>
      <c r="V55" s="17"/>
      <c r="W55" s="17"/>
    </row>
    <row r="56" spans="2:23" ht="19.5" customHeight="1" x14ac:dyDescent="0.25">
      <c r="F56" s="169" t="str">
        <f t="shared" ref="F56:N64" si="20">IF(OR(F26="",F41=""),"",ABS(F26-F41))</f>
        <v/>
      </c>
      <c r="G56" s="131" t="str">
        <f t="shared" si="20"/>
        <v/>
      </c>
      <c r="H56" s="131" t="str">
        <f t="shared" si="20"/>
        <v/>
      </c>
      <c r="I56" s="131" t="str">
        <f t="shared" si="20"/>
        <v/>
      </c>
      <c r="J56" s="131" t="str">
        <f t="shared" si="20"/>
        <v/>
      </c>
      <c r="K56" s="131" t="str">
        <f t="shared" si="20"/>
        <v/>
      </c>
      <c r="L56" s="131" t="str">
        <f t="shared" si="20"/>
        <v/>
      </c>
      <c r="M56" s="131" t="str">
        <f t="shared" si="20"/>
        <v/>
      </c>
      <c r="N56" s="132" t="str">
        <f t="shared" si="20"/>
        <v/>
      </c>
      <c r="O56" s="17"/>
      <c r="P56" s="17"/>
      <c r="Q56" s="17"/>
      <c r="R56" s="17"/>
      <c r="S56" s="17"/>
      <c r="T56" s="17"/>
      <c r="U56" s="17"/>
      <c r="V56" s="17"/>
      <c r="W56" s="17"/>
    </row>
    <row r="57" spans="2:23" ht="19.5" customHeight="1" x14ac:dyDescent="0.25">
      <c r="F57" s="169" t="str">
        <f t="shared" si="20"/>
        <v/>
      </c>
      <c r="G57" s="131" t="str">
        <f t="shared" si="20"/>
        <v/>
      </c>
      <c r="H57" s="131" t="str">
        <f t="shared" si="20"/>
        <v/>
      </c>
      <c r="I57" s="131" t="str">
        <f t="shared" si="20"/>
        <v/>
      </c>
      <c r="J57" s="131" t="str">
        <f t="shared" si="20"/>
        <v/>
      </c>
      <c r="K57" s="131" t="str">
        <f t="shared" si="20"/>
        <v/>
      </c>
      <c r="L57" s="131" t="str">
        <f t="shared" si="20"/>
        <v/>
      </c>
      <c r="M57" s="131" t="str">
        <f t="shared" si="20"/>
        <v/>
      </c>
      <c r="N57" s="132" t="str">
        <f t="shared" si="20"/>
        <v/>
      </c>
      <c r="O57" s="17"/>
      <c r="P57" s="17"/>
      <c r="Q57" s="17"/>
      <c r="R57" s="17"/>
      <c r="S57" s="17"/>
      <c r="T57" s="17"/>
      <c r="U57" s="17"/>
      <c r="V57" s="17"/>
      <c r="W57" s="17"/>
    </row>
    <row r="58" spans="2:23" ht="19.5" customHeight="1" x14ac:dyDescent="0.25">
      <c r="F58" s="169" t="str">
        <f t="shared" si="20"/>
        <v/>
      </c>
      <c r="G58" s="131" t="str">
        <f t="shared" si="20"/>
        <v/>
      </c>
      <c r="H58" s="131" t="str">
        <f t="shared" si="20"/>
        <v/>
      </c>
      <c r="I58" s="131" t="str">
        <f t="shared" si="20"/>
        <v/>
      </c>
      <c r="J58" s="131" t="str">
        <f t="shared" si="20"/>
        <v/>
      </c>
      <c r="K58" s="131" t="str">
        <f t="shared" si="20"/>
        <v/>
      </c>
      <c r="L58" s="131" t="str">
        <f t="shared" si="20"/>
        <v/>
      </c>
      <c r="M58" s="131" t="str">
        <f t="shared" si="20"/>
        <v/>
      </c>
      <c r="N58" s="132" t="str">
        <f t="shared" si="20"/>
        <v/>
      </c>
      <c r="O58" s="17"/>
      <c r="P58" s="17"/>
      <c r="Q58" s="17"/>
      <c r="R58" s="17"/>
      <c r="S58" s="17"/>
      <c r="T58" s="17"/>
      <c r="U58" s="17"/>
      <c r="V58" s="17"/>
      <c r="W58" s="17"/>
    </row>
    <row r="59" spans="2:23" ht="19.5" customHeight="1" x14ac:dyDescent="0.25">
      <c r="F59" s="169" t="str">
        <f t="shared" si="20"/>
        <v/>
      </c>
      <c r="G59" s="131" t="str">
        <f t="shared" si="20"/>
        <v/>
      </c>
      <c r="H59" s="131" t="str">
        <f t="shared" si="20"/>
        <v/>
      </c>
      <c r="I59" s="131" t="str">
        <f t="shared" si="20"/>
        <v/>
      </c>
      <c r="J59" s="131" t="str">
        <f t="shared" si="20"/>
        <v/>
      </c>
      <c r="K59" s="131" t="str">
        <f t="shared" si="20"/>
        <v/>
      </c>
      <c r="L59" s="131" t="str">
        <f t="shared" si="20"/>
        <v/>
      </c>
      <c r="M59" s="131" t="str">
        <f t="shared" si="20"/>
        <v/>
      </c>
      <c r="N59" s="132" t="str">
        <f t="shared" si="20"/>
        <v/>
      </c>
      <c r="O59" s="17"/>
      <c r="P59" s="17"/>
      <c r="Q59" s="17"/>
      <c r="R59" s="17"/>
      <c r="S59" s="17"/>
      <c r="T59" s="17"/>
      <c r="U59" s="17"/>
      <c r="V59" s="17"/>
      <c r="W59" s="17"/>
    </row>
    <row r="60" spans="2:23" ht="19.5" customHeight="1" x14ac:dyDescent="0.25">
      <c r="F60" s="169" t="str">
        <f t="shared" si="20"/>
        <v/>
      </c>
      <c r="G60" s="131" t="str">
        <f t="shared" si="20"/>
        <v/>
      </c>
      <c r="H60" s="131" t="str">
        <f t="shared" si="20"/>
        <v/>
      </c>
      <c r="I60" s="131" t="str">
        <f t="shared" si="20"/>
        <v/>
      </c>
      <c r="J60" s="131" t="str">
        <f t="shared" si="20"/>
        <v/>
      </c>
      <c r="K60" s="131" t="str">
        <f t="shared" si="20"/>
        <v/>
      </c>
      <c r="L60" s="131" t="str">
        <f t="shared" si="20"/>
        <v/>
      </c>
      <c r="M60" s="131" t="str">
        <f t="shared" si="20"/>
        <v/>
      </c>
      <c r="N60" s="132" t="str">
        <f t="shared" si="20"/>
        <v/>
      </c>
      <c r="O60" s="17"/>
      <c r="P60" s="17"/>
      <c r="Q60" s="17"/>
      <c r="R60" s="17"/>
      <c r="S60" s="17"/>
      <c r="T60" s="17"/>
      <c r="U60" s="17"/>
      <c r="V60" s="17"/>
      <c r="W60" s="17"/>
    </row>
    <row r="61" spans="2:23" ht="19.5" customHeight="1" x14ac:dyDescent="0.25">
      <c r="F61" s="169" t="str">
        <f t="shared" si="20"/>
        <v/>
      </c>
      <c r="G61" s="131" t="str">
        <f t="shared" si="20"/>
        <v/>
      </c>
      <c r="H61" s="131" t="str">
        <f t="shared" si="20"/>
        <v/>
      </c>
      <c r="I61" s="131" t="str">
        <f t="shared" si="20"/>
        <v/>
      </c>
      <c r="J61" s="131" t="str">
        <f t="shared" si="20"/>
        <v/>
      </c>
      <c r="K61" s="131" t="str">
        <f t="shared" si="20"/>
        <v/>
      </c>
      <c r="L61" s="131" t="str">
        <f t="shared" si="20"/>
        <v/>
      </c>
      <c r="M61" s="131" t="str">
        <f t="shared" si="20"/>
        <v/>
      </c>
      <c r="N61" s="132" t="str">
        <f t="shared" si="20"/>
        <v/>
      </c>
      <c r="O61" s="17"/>
      <c r="P61" s="17"/>
      <c r="Q61" s="17"/>
      <c r="R61" s="17"/>
      <c r="S61" s="17"/>
      <c r="T61" s="17"/>
      <c r="U61" s="17"/>
      <c r="V61" s="17"/>
      <c r="W61" s="17"/>
    </row>
    <row r="62" spans="2:23" ht="19.5" customHeight="1" x14ac:dyDescent="0.25">
      <c r="F62" s="169" t="str">
        <f t="shared" si="20"/>
        <v/>
      </c>
      <c r="G62" s="131" t="str">
        <f t="shared" si="20"/>
        <v/>
      </c>
      <c r="H62" s="131" t="str">
        <f t="shared" si="20"/>
        <v/>
      </c>
      <c r="I62" s="131" t="str">
        <f t="shared" si="20"/>
        <v/>
      </c>
      <c r="J62" s="131" t="str">
        <f t="shared" si="20"/>
        <v/>
      </c>
      <c r="K62" s="131" t="str">
        <f t="shared" si="20"/>
        <v/>
      </c>
      <c r="L62" s="131" t="str">
        <f t="shared" si="20"/>
        <v/>
      </c>
      <c r="M62" s="131" t="str">
        <f t="shared" si="20"/>
        <v/>
      </c>
      <c r="N62" s="132" t="str">
        <f t="shared" si="20"/>
        <v/>
      </c>
      <c r="O62" s="17"/>
      <c r="P62" s="17"/>
      <c r="Q62" s="17"/>
      <c r="R62" s="17"/>
      <c r="S62" s="17"/>
      <c r="T62" s="17"/>
      <c r="U62" s="17"/>
      <c r="V62" s="17"/>
      <c r="W62" s="17"/>
    </row>
    <row r="63" spans="2:23" ht="19.5" customHeight="1" x14ac:dyDescent="0.25">
      <c r="F63" s="169" t="str">
        <f t="shared" si="20"/>
        <v/>
      </c>
      <c r="G63" s="131" t="str">
        <f t="shared" si="20"/>
        <v/>
      </c>
      <c r="H63" s="131" t="str">
        <f t="shared" si="20"/>
        <v/>
      </c>
      <c r="I63" s="131" t="str">
        <f t="shared" si="20"/>
        <v/>
      </c>
      <c r="J63" s="131" t="str">
        <f t="shared" si="20"/>
        <v/>
      </c>
      <c r="K63" s="131" t="str">
        <f t="shared" si="20"/>
        <v/>
      </c>
      <c r="L63" s="131" t="str">
        <f t="shared" si="20"/>
        <v/>
      </c>
      <c r="M63" s="131" t="str">
        <f t="shared" si="20"/>
        <v/>
      </c>
      <c r="N63" s="132" t="str">
        <f t="shared" si="20"/>
        <v/>
      </c>
      <c r="O63" s="17"/>
      <c r="P63" s="17"/>
      <c r="Q63" s="17"/>
      <c r="R63" s="17"/>
      <c r="S63" s="17"/>
      <c r="T63" s="17"/>
      <c r="U63" s="17"/>
      <c r="V63" s="17"/>
      <c r="W63" s="17"/>
    </row>
    <row r="64" spans="2:23" ht="19.5" customHeight="1" thickBot="1" x14ac:dyDescent="0.3">
      <c r="F64" s="170" t="str">
        <f t="shared" si="20"/>
        <v/>
      </c>
      <c r="G64" s="133" t="str">
        <f t="shared" si="20"/>
        <v/>
      </c>
      <c r="H64" s="133" t="str">
        <f t="shared" si="20"/>
        <v/>
      </c>
      <c r="I64" s="133" t="str">
        <f t="shared" si="20"/>
        <v/>
      </c>
      <c r="J64" s="133" t="str">
        <f t="shared" si="20"/>
        <v/>
      </c>
      <c r="K64" s="133" t="str">
        <f t="shared" si="20"/>
        <v/>
      </c>
      <c r="L64" s="133" t="str">
        <f t="shared" si="20"/>
        <v/>
      </c>
      <c r="M64" s="133" t="str">
        <f t="shared" si="20"/>
        <v/>
      </c>
      <c r="N64" s="134" t="str">
        <f t="shared" si="20"/>
        <v/>
      </c>
      <c r="O64" s="17"/>
      <c r="P64" s="17"/>
      <c r="Q64" s="17"/>
      <c r="R64" s="17"/>
      <c r="S64" s="17"/>
      <c r="T64" s="17"/>
      <c r="U64" s="17"/>
      <c r="V64" s="17"/>
      <c r="W64" s="17"/>
    </row>
    <row r="65" spans="1:23" ht="19.5" customHeight="1" x14ac:dyDescent="0.25">
      <c r="B65" s="4"/>
      <c r="C65" s="4"/>
      <c r="D65" s="4"/>
      <c r="E65" s="4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spans="1:23" ht="19.5" customHeight="1" thickBot="1" x14ac:dyDescent="0.3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spans="1:23" ht="19.5" customHeight="1" x14ac:dyDescent="0.25">
      <c r="B67" s="4"/>
      <c r="C67" s="4"/>
      <c r="D67" s="4"/>
      <c r="E67" s="4"/>
      <c r="F67" s="824" t="s">
        <v>175</v>
      </c>
      <c r="G67" s="825" t="s">
        <v>176</v>
      </c>
      <c r="H67" s="825" t="s">
        <v>177</v>
      </c>
      <c r="I67" s="825" t="s">
        <v>178</v>
      </c>
      <c r="J67" s="825" t="s">
        <v>179</v>
      </c>
      <c r="K67" s="825" t="s">
        <v>180</v>
      </c>
      <c r="L67" s="825" t="s">
        <v>181</v>
      </c>
      <c r="M67" s="825" t="s">
        <v>182</v>
      </c>
      <c r="N67" s="1019" t="s">
        <v>183</v>
      </c>
      <c r="O67" s="17"/>
      <c r="P67" s="17"/>
      <c r="Q67" s="17"/>
      <c r="R67" s="17"/>
      <c r="S67" s="17"/>
      <c r="T67" s="17"/>
      <c r="U67" s="17"/>
      <c r="V67" s="17"/>
      <c r="W67" s="17"/>
    </row>
    <row r="68" spans="1:23" ht="18.75" customHeight="1" thickBot="1" x14ac:dyDescent="0.3">
      <c r="F68" s="1022"/>
      <c r="G68" s="1021"/>
      <c r="H68" s="1021"/>
      <c r="I68" s="1021"/>
      <c r="J68" s="1021"/>
      <c r="K68" s="1021"/>
      <c r="L68" s="1021"/>
      <c r="M68" s="1021"/>
      <c r="N68" s="1020"/>
    </row>
    <row r="69" spans="1:23" ht="26.25" customHeight="1" x14ac:dyDescent="0.25">
      <c r="B69" s="841" t="s">
        <v>125</v>
      </c>
      <c r="C69" s="842"/>
      <c r="D69" s="842"/>
      <c r="E69" s="842"/>
      <c r="F69" s="141" t="str">
        <f>IF(F25="","",_xlfn.MODE.SNGL(F25:F34,F40:F49))</f>
        <v/>
      </c>
      <c r="G69" s="141" t="str">
        <f t="shared" ref="G69:M69" si="21">IF(G25="","",_xlfn.MODE.SNGL(G25:G34,G40:G49))</f>
        <v/>
      </c>
      <c r="H69" s="141" t="str">
        <f t="shared" si="21"/>
        <v/>
      </c>
      <c r="I69" s="141" t="str">
        <f t="shared" si="21"/>
        <v/>
      </c>
      <c r="J69" s="141" t="str">
        <f t="shared" si="21"/>
        <v/>
      </c>
      <c r="K69" s="141" t="str">
        <f t="shared" si="21"/>
        <v/>
      </c>
      <c r="L69" s="141" t="str">
        <f t="shared" si="21"/>
        <v/>
      </c>
      <c r="M69" s="141" t="str">
        <f t="shared" si="21"/>
        <v/>
      </c>
      <c r="N69" s="141" t="str">
        <f>IF(N25="","",_xlfn.MODE.SNGL(N25:N34,N40:N49))</f>
        <v/>
      </c>
    </row>
    <row r="70" spans="1:23" ht="22.5" customHeight="1" x14ac:dyDescent="0.25">
      <c r="B70" s="937" t="s">
        <v>126</v>
      </c>
      <c r="C70" s="938"/>
      <c r="D70" s="938"/>
      <c r="E70" s="938"/>
      <c r="F70" s="43" t="str">
        <f>IF(F25="","",MEDIAN(F25:F34,F40:F49))</f>
        <v/>
      </c>
      <c r="G70" s="43" t="str">
        <f t="shared" ref="G70:N70" si="22">IF(G25="","",MEDIAN(G25:G34,G40:G49))</f>
        <v/>
      </c>
      <c r="H70" s="43" t="str">
        <f t="shared" si="22"/>
        <v/>
      </c>
      <c r="I70" s="43" t="str">
        <f t="shared" si="22"/>
        <v/>
      </c>
      <c r="J70" s="43" t="str">
        <f t="shared" si="22"/>
        <v/>
      </c>
      <c r="K70" s="43" t="str">
        <f t="shared" si="22"/>
        <v/>
      </c>
      <c r="L70" s="43" t="str">
        <f t="shared" si="22"/>
        <v/>
      </c>
      <c r="M70" s="43" t="str">
        <f t="shared" si="22"/>
        <v/>
      </c>
      <c r="N70" s="43" t="str">
        <f t="shared" si="22"/>
        <v/>
      </c>
    </row>
    <row r="71" spans="1:23" ht="48.75" customHeight="1" x14ac:dyDescent="0.25">
      <c r="B71" s="1037" t="s">
        <v>242</v>
      </c>
      <c r="C71" s="1038"/>
      <c r="D71" s="1038"/>
      <c r="E71" s="1038"/>
      <c r="F71" s="1036" t="str">
        <f>IF(F25="","", IF(AND(OR(O25=$AA$4,O25=""),OR(O26=$AA$4,O26=""),OR(O27=$AA$4,O27=""),OR(O28=$AA$4,O28=""),OR(O29=$AA$4,O29=""),OR(O30=$AA$4,O30=""),OR(O31=$AA$4,O31=""),OR(O32=$AA$4,O32=""),OR(O33=$AA$4,O33=""),OR(O34=$AA$4,O34=""),OR(O40=$AA$4,O40=""),OR(O41=$AA$4,O41=""),OR(O42=$AA$4,O42=""),OR(O43=$AA$4,O43=""),OR(O44=$AA$4,O44=""),OR(O45=$AA$4,O45=""),OR(O46=$AA$4,O46=""),OR(O47=$AA$4,O47=""),OR(O48=$AA$4,O48=""),OR(O49=$AA$4, O49=""),OR(F55&lt;=$H$14,F55=""),OR(F56&lt;=$H$14,F56=""),OR(F57&lt;=$H$14,F57=""),OR(F58&lt;=$H$14,F58=""),OR(F59&lt;=$H$14,F59=""),OR(F60&lt;=$H$14,F60=""),OR(F61&lt;=$H$14,F61=""),OR(F62&lt;=$H$14,F62=""),OR(F63&lt;=$H$14,F63=""),OR(F64&lt;=$H$14,F64="")),"Les échantillons sont homogènes", "Les échantillons ne sont pas homogènes; éliminer les résultats indiqués en rouge. Ne pas éliminer plus que 1 résultat"))</f>
        <v/>
      </c>
      <c r="G71" s="1036" t="str">
        <f t="shared" ref="G71:M71" si="23">IF(G25="","", IF(AND(OR(P25=$AA$4,P25=""),OR(P26=$AA$4,P26=""),OR(P27=$AA$4,P27=""),OR(P28=$AA$4,P28=""),OR(P29=$AA$4,P29=""),OR(P30=$AA$4,P30=""),OR(P31=$AA$4,P31=""),OR(P32=$AA$4,P32=""),OR(P33=$AA$4,P33=""),OR(P34=$AA$4,P34=""),OR(P40=$AA$4,P40=""),OR(P41=$AA$4,P41=""),OR(P42=$AA$4,P42=""),OR(P43=$AA$4,P43=""),OR(P44=$AA$4,P44=""),OR(P45=$AA$4,P45=""),OR(P46=$AA$4,P46=""),OR(P47=$AA$4,P47=""),OR(P48=$AA$4,P48=""),OR(P49=$AA$4, P49=""),OR(G55&lt;=$H$14,G55=""),OR(G56&lt;=$H$14,G56=""),OR(G57&lt;=$H$14,G57=""),OR(G58&lt;=$H$14,G58=""),OR(G59&lt;=$H$14,G59=""),OR(G60&lt;=$H$14,G60=""),OR(G61&lt;=$H$14,G61=""),OR(G62&lt;=$H$14,G62=""),OR(G63&lt;=$H$14,G63=""),OR(G64&lt;=$H$14,G64="")),"Les échantillons sont homogènes", "Les échantillons ne sont pas homogènes; éliminer les résultats indiqués en rouge. Ne pas éliminer plus que 1 résultat"))</f>
        <v/>
      </c>
      <c r="H71" s="1036" t="str">
        <f t="shared" si="23"/>
        <v/>
      </c>
      <c r="I71" s="1036" t="str">
        <f t="shared" si="23"/>
        <v/>
      </c>
      <c r="J71" s="1036" t="str">
        <f t="shared" si="23"/>
        <v/>
      </c>
      <c r="K71" s="1036" t="str">
        <f t="shared" si="23"/>
        <v/>
      </c>
      <c r="L71" s="1036" t="str">
        <f t="shared" si="23"/>
        <v/>
      </c>
      <c r="M71" s="1036" t="str">
        <f t="shared" si="23"/>
        <v/>
      </c>
      <c r="N71" s="1039" t="str">
        <f>IF(N25="","", IF(AND(OR(W25=$AA$4,W25=""),OR(W26=$AA$4,W26=""),OR(W27=$AA$4,W27=""),OR(W28=$AA$4,W28=""),OR(W29=$AA$4,W29=""),OR(W30=$AA$4,W30=""),OR(W31=$AA$4,W31=""),OR(W32=$AA$4,W32=""),OR(W33=$AA$4,W33=""),OR(W34=$AA$4,W34=""),OR(W40=$AA$4,W40=""),OR(W41=$AA$4,W41=""),OR(W42=$AA$4,W42=""),OR(W43=$AA$4,W43=""),OR(W44=$AA$4,W44=""),OR(W45=$AA$4,W45=""),OR(W46=$AA$4,W46=""),OR(W47=$AA$4,W47=""),OR(W48=$AA$4,W48=""),OR(W49=$AA$4, W49=""),OR(N55&lt;=$H$14,N55=""),OR(N56&lt;=$H$14,N56=""),OR(N57&lt;=$H$14,N57=""),OR(N58&lt;=$H$14,N58=""),OR(N59&lt;=$H$14,N59=""),OR(N60&lt;=$H$14,N60=""),OR(N61&lt;=$H$14,N61=""),OR(N62&lt;=$H$14,N62=""),OR(N63&lt;=$H$14,N63=""),OR(N64&lt;=$H$14,N64="")),"Les échantillons sont homogènes", "Les échantillons ne sont pas homogènes; éliminer les résultats indiqués en rouge. Ne pas éliminer plus que 1 résultat"))</f>
        <v/>
      </c>
    </row>
    <row r="72" spans="1:23" ht="46.5" customHeight="1" x14ac:dyDescent="0.25">
      <c r="B72" s="1037"/>
      <c r="C72" s="1038"/>
      <c r="D72" s="1038"/>
      <c r="E72" s="1038"/>
      <c r="F72" s="1036"/>
      <c r="G72" s="1036"/>
      <c r="H72" s="1036"/>
      <c r="I72" s="1036"/>
      <c r="J72" s="1036"/>
      <c r="K72" s="1036"/>
      <c r="L72" s="1036"/>
      <c r="M72" s="1036"/>
      <c r="N72" s="1039"/>
    </row>
    <row r="73" spans="1:23" ht="51.75" customHeight="1" x14ac:dyDescent="0.25">
      <c r="B73" s="1037"/>
      <c r="C73" s="1038"/>
      <c r="D73" s="1038"/>
      <c r="E73" s="1038"/>
      <c r="F73" s="1036"/>
      <c r="G73" s="1036"/>
      <c r="H73" s="1036"/>
      <c r="I73" s="1036"/>
      <c r="J73" s="1036"/>
      <c r="K73" s="1036"/>
      <c r="L73" s="1036"/>
      <c r="M73" s="1036"/>
      <c r="N73" s="1039"/>
    </row>
    <row r="74" spans="1:23" ht="57.75" customHeight="1" x14ac:dyDescent="0.25">
      <c r="B74" s="1037"/>
      <c r="C74" s="1038"/>
      <c r="D74" s="1038"/>
      <c r="E74" s="1038"/>
      <c r="F74" s="1036"/>
      <c r="G74" s="1036"/>
      <c r="H74" s="1036"/>
      <c r="I74" s="1036"/>
      <c r="J74" s="1036"/>
      <c r="K74" s="1036"/>
      <c r="L74" s="1036"/>
      <c r="M74" s="1036"/>
      <c r="N74" s="1039"/>
    </row>
    <row r="75" spans="1:23" ht="58.5" customHeight="1" x14ac:dyDescent="0.25">
      <c r="B75" s="1037"/>
      <c r="C75" s="1038"/>
      <c r="D75" s="1038"/>
      <c r="E75" s="1038"/>
      <c r="F75" s="1036"/>
      <c r="G75" s="1036"/>
      <c r="H75" s="1036"/>
      <c r="I75" s="1036"/>
      <c r="J75" s="1036"/>
      <c r="K75" s="1036"/>
      <c r="L75" s="1036"/>
      <c r="M75" s="1036"/>
      <c r="N75" s="1039"/>
    </row>
    <row r="76" spans="1:23" ht="58.5" customHeight="1" thickBot="1" x14ac:dyDescent="0.3">
      <c r="B76" s="1011" t="s">
        <v>228</v>
      </c>
      <c r="C76" s="1012"/>
      <c r="D76" s="1012"/>
      <c r="E76" s="1012"/>
      <c r="F76" s="129"/>
      <c r="G76" s="129"/>
      <c r="H76" s="129"/>
      <c r="I76" s="129"/>
      <c r="J76" s="129"/>
      <c r="K76" s="129"/>
      <c r="L76" s="129"/>
      <c r="M76" s="129"/>
      <c r="N76" s="130"/>
    </row>
    <row r="77" spans="1:23" ht="21.75" customHeight="1" thickBot="1" x14ac:dyDescent="0.3"/>
    <row r="78" spans="1:23" ht="39" customHeight="1" thickBot="1" x14ac:dyDescent="0.3">
      <c r="A78" s="33"/>
      <c r="B78" s="941" t="s">
        <v>128</v>
      </c>
      <c r="C78" s="942"/>
      <c r="D78" s="942"/>
      <c r="E78" s="942"/>
      <c r="F78" s="942"/>
      <c r="G78" s="942"/>
      <c r="H78" s="942"/>
      <c r="I78" s="942"/>
      <c r="J78" s="942"/>
      <c r="K78" s="942"/>
      <c r="L78" s="942"/>
      <c r="M78" s="942"/>
      <c r="N78" s="942"/>
      <c r="O78" s="942"/>
      <c r="P78" s="942"/>
      <c r="Q78" s="942"/>
      <c r="R78" s="942"/>
      <c r="S78" s="942"/>
      <c r="T78" s="943"/>
    </row>
    <row r="79" spans="1:23" ht="22.5" customHeight="1" thickBot="1" x14ac:dyDescent="0.3">
      <c r="A79" s="33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4"/>
    </row>
    <row r="80" spans="1:23" ht="22.5" customHeight="1" thickBot="1" x14ac:dyDescent="0.3">
      <c r="A80" s="33"/>
      <c r="B80" s="372" t="s">
        <v>91</v>
      </c>
      <c r="C80" s="373"/>
      <c r="D80" s="373"/>
      <c r="E80" s="373"/>
      <c r="F80" s="373"/>
      <c r="G80" s="373"/>
      <c r="H80" s="373"/>
      <c r="I80" s="373"/>
      <c r="J80" s="373"/>
      <c r="K80" s="373"/>
      <c r="L80" s="373"/>
      <c r="M80" s="373"/>
      <c r="N80" s="373"/>
      <c r="O80" s="373"/>
      <c r="P80" s="373"/>
      <c r="Q80" s="373"/>
      <c r="R80" s="373"/>
      <c r="S80" s="373"/>
      <c r="T80" s="374"/>
    </row>
    <row r="81" spans="1:38" ht="15.75" thickBot="1" x14ac:dyDescent="0.3">
      <c r="A81" s="33"/>
    </row>
    <row r="82" spans="1:38" ht="25.5" customHeight="1" x14ac:dyDescent="0.25">
      <c r="A82" s="33"/>
      <c r="B82" s="950" t="s">
        <v>32</v>
      </c>
      <c r="C82" s="951"/>
      <c r="D82" s="951"/>
      <c r="E82" s="834"/>
      <c r="F82" s="835"/>
      <c r="G82" s="836"/>
      <c r="H82" s="40"/>
      <c r="I82" s="40"/>
      <c r="J82" s="40"/>
      <c r="K82" s="40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</row>
    <row r="83" spans="1:38" ht="25.5" customHeight="1" x14ac:dyDescent="0.25">
      <c r="A83" s="33"/>
      <c r="B83" s="985" t="s">
        <v>52</v>
      </c>
      <c r="C83" s="986"/>
      <c r="D83" s="986"/>
      <c r="E83" s="1009"/>
      <c r="F83" s="1063"/>
      <c r="G83" s="1064"/>
      <c r="H83" s="40"/>
      <c r="I83" s="40"/>
      <c r="J83" s="40"/>
      <c r="K83" s="40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</row>
    <row r="84" spans="1:38" ht="30.75" customHeight="1" x14ac:dyDescent="0.25">
      <c r="A84" s="33"/>
      <c r="B84" s="945" t="s">
        <v>112</v>
      </c>
      <c r="C84" s="946"/>
      <c r="D84" s="946"/>
      <c r="E84" s="837" t="str">
        <f>IF(F96="","",COUNT(F96:F99))</f>
        <v/>
      </c>
      <c r="F84" s="837"/>
      <c r="G84" s="838"/>
      <c r="H84" s="40"/>
      <c r="I84" s="40"/>
      <c r="J84" s="40"/>
      <c r="K84" s="40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</row>
    <row r="85" spans="1:38" ht="25.5" customHeight="1" thickBot="1" x14ac:dyDescent="0.3">
      <c r="A85" s="33"/>
      <c r="B85" s="1044" t="s">
        <v>16</v>
      </c>
      <c r="C85" s="1045"/>
      <c r="D85" s="1045"/>
      <c r="E85" s="822">
        <v>2</v>
      </c>
      <c r="F85" s="822"/>
      <c r="G85" s="823"/>
      <c r="H85" s="40"/>
      <c r="I85" s="40"/>
      <c r="J85" s="40"/>
      <c r="K85" s="40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</row>
    <row r="86" spans="1:38" ht="25.5" customHeight="1" thickBot="1" x14ac:dyDescent="0.3">
      <c r="A86" s="33"/>
      <c r="B86" s="168"/>
      <c r="C86" s="168"/>
      <c r="D86" s="168"/>
      <c r="E86" s="5"/>
      <c r="F86" s="5"/>
      <c r="G86" s="5"/>
      <c r="H86" s="40"/>
      <c r="I86" s="40"/>
      <c r="J86" s="40"/>
      <c r="K86" s="40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</row>
    <row r="87" spans="1:38" ht="30.75" customHeight="1" x14ac:dyDescent="0.25">
      <c r="A87" s="33"/>
      <c r="B87" s="976" t="s">
        <v>223</v>
      </c>
      <c r="C87" s="977"/>
      <c r="D87" s="977"/>
      <c r="E87" s="977"/>
      <c r="F87" s="977"/>
      <c r="G87" s="977"/>
      <c r="H87" s="977"/>
      <c r="I87" s="977"/>
      <c r="J87" s="977"/>
      <c r="K87" s="977"/>
      <c r="L87" s="977"/>
      <c r="M87" s="977"/>
      <c r="N87" s="978"/>
      <c r="O87" s="35"/>
      <c r="P87" s="35"/>
      <c r="Q87" s="35"/>
      <c r="R87" s="35"/>
      <c r="S87" s="35"/>
      <c r="T87" s="35"/>
      <c r="U87" s="35"/>
      <c r="V87" s="35"/>
    </row>
    <row r="88" spans="1:38" ht="39" customHeight="1" x14ac:dyDescent="0.25">
      <c r="A88" s="33"/>
      <c r="B88" s="979"/>
      <c r="C88" s="980"/>
      <c r="D88" s="980"/>
      <c r="E88" s="981"/>
      <c r="F88" s="166" t="s">
        <v>175</v>
      </c>
      <c r="G88" s="166" t="s">
        <v>176</v>
      </c>
      <c r="H88" s="166" t="s">
        <v>177</v>
      </c>
      <c r="I88" s="166" t="s">
        <v>178</v>
      </c>
      <c r="J88" s="166" t="s">
        <v>179</v>
      </c>
      <c r="K88" s="166" t="s">
        <v>180</v>
      </c>
      <c r="L88" s="166" t="s">
        <v>181</v>
      </c>
      <c r="M88" s="166" t="s">
        <v>182</v>
      </c>
      <c r="N88" s="166" t="s">
        <v>183</v>
      </c>
      <c r="O88" s="35"/>
      <c r="P88" s="35"/>
      <c r="Q88" s="35"/>
      <c r="R88" s="35"/>
      <c r="S88" s="35"/>
      <c r="T88" s="35"/>
      <c r="U88" s="35"/>
      <c r="V88" s="35"/>
    </row>
    <row r="89" spans="1:38" ht="25.5" customHeight="1" x14ac:dyDescent="0.25">
      <c r="A89" s="33"/>
      <c r="B89" s="868" t="s">
        <v>224</v>
      </c>
      <c r="C89" s="869"/>
      <c r="D89" s="869"/>
      <c r="E89" s="869"/>
      <c r="F89" s="43" t="str">
        <f>IF(F69="","",F69)</f>
        <v/>
      </c>
      <c r="G89" s="43" t="str">
        <f t="shared" ref="G89:N89" si="24">IF(G69="","",G69)</f>
        <v/>
      </c>
      <c r="H89" s="43" t="str">
        <f t="shared" si="24"/>
        <v/>
      </c>
      <c r="I89" s="43" t="str">
        <f t="shared" si="24"/>
        <v/>
      </c>
      <c r="J89" s="43" t="str">
        <f t="shared" si="24"/>
        <v/>
      </c>
      <c r="K89" s="43" t="str">
        <f t="shared" si="24"/>
        <v/>
      </c>
      <c r="L89" s="43" t="str">
        <f t="shared" si="24"/>
        <v/>
      </c>
      <c r="M89" s="43" t="str">
        <f t="shared" si="24"/>
        <v/>
      </c>
      <c r="N89" s="47" t="str">
        <f t="shared" si="24"/>
        <v/>
      </c>
      <c r="O89" s="35"/>
      <c r="P89" s="35"/>
      <c r="Q89" s="35"/>
      <c r="R89" s="35"/>
      <c r="S89" s="35"/>
      <c r="T89" s="35"/>
      <c r="U89" s="35"/>
      <c r="V89" s="35"/>
    </row>
    <row r="90" spans="1:38" ht="27" customHeight="1" thickBot="1" x14ac:dyDescent="0.3">
      <c r="A90" s="33"/>
      <c r="B90" s="870" t="s">
        <v>225</v>
      </c>
      <c r="C90" s="871"/>
      <c r="D90" s="871"/>
      <c r="E90" s="871"/>
      <c r="F90" s="171" t="str">
        <f>IF(F70="","",F70)</f>
        <v/>
      </c>
      <c r="G90" s="171" t="str">
        <f t="shared" ref="G90:N90" si="25">IF(G70="","",G70)</f>
        <v/>
      </c>
      <c r="H90" s="171" t="str">
        <f t="shared" si="25"/>
        <v/>
      </c>
      <c r="I90" s="171" t="str">
        <f t="shared" si="25"/>
        <v/>
      </c>
      <c r="J90" s="171" t="str">
        <f t="shared" si="25"/>
        <v/>
      </c>
      <c r="K90" s="171" t="str">
        <f t="shared" si="25"/>
        <v/>
      </c>
      <c r="L90" s="171" t="str">
        <f t="shared" si="25"/>
        <v/>
      </c>
      <c r="M90" s="171" t="str">
        <f t="shared" si="25"/>
        <v/>
      </c>
      <c r="N90" s="48" t="str">
        <f t="shared" si="25"/>
        <v/>
      </c>
      <c r="O90" s="35"/>
      <c r="P90" s="35"/>
      <c r="Q90" s="35"/>
      <c r="R90" s="35"/>
      <c r="S90" s="35"/>
      <c r="T90" s="35"/>
      <c r="U90" s="35"/>
      <c r="V90" s="35"/>
    </row>
    <row r="91" spans="1:38" ht="19.5" thickBot="1" x14ac:dyDescent="0.3">
      <c r="A91" s="33"/>
      <c r="B91" s="33"/>
      <c r="C91" s="33"/>
      <c r="D91" s="33"/>
      <c r="E91" s="33"/>
      <c r="F91" s="33"/>
      <c r="G91" s="17"/>
      <c r="H91" s="17"/>
      <c r="I91" s="17"/>
      <c r="J91" s="17"/>
      <c r="K91" s="17"/>
      <c r="L91" s="17"/>
      <c r="M91" s="17"/>
      <c r="N91" s="17"/>
      <c r="O91" s="142"/>
      <c r="P91" s="142"/>
      <c r="Q91" s="142"/>
      <c r="R91" s="142"/>
      <c r="S91" s="142"/>
      <c r="T91" s="142"/>
      <c r="U91" s="142"/>
      <c r="V91" s="142"/>
      <c r="W91" s="142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35"/>
      <c r="AJ91" s="35"/>
      <c r="AK91" s="35"/>
      <c r="AL91" s="35"/>
    </row>
    <row r="92" spans="1:38" ht="29.25" customHeight="1" thickBot="1" x14ac:dyDescent="0.3">
      <c r="A92" s="33"/>
      <c r="B92" s="1005" t="s">
        <v>129</v>
      </c>
      <c r="C92" s="1006"/>
      <c r="D92" s="1006"/>
      <c r="E92" s="1006"/>
      <c r="F92" s="1006"/>
      <c r="G92" s="1006"/>
      <c r="H92" s="1006"/>
      <c r="I92" s="1006"/>
      <c r="J92" s="1007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35"/>
      <c r="AJ92" s="35"/>
      <c r="AK92" s="35"/>
      <c r="AL92" s="35"/>
    </row>
    <row r="93" spans="1:38" ht="18.75" x14ac:dyDescent="0.25">
      <c r="A93" s="33"/>
      <c r="B93" s="824" t="s">
        <v>28</v>
      </c>
      <c r="C93" s="825"/>
      <c r="D93" s="825" t="s">
        <v>122</v>
      </c>
      <c r="E93" s="825"/>
      <c r="F93" s="828" t="s">
        <v>0</v>
      </c>
      <c r="G93" s="828"/>
      <c r="H93" s="828"/>
      <c r="I93" s="828"/>
      <c r="J93" s="828"/>
      <c r="K93" s="828"/>
      <c r="L93" s="828"/>
      <c r="M93" s="828"/>
      <c r="N93" s="828"/>
      <c r="O93" s="828" t="s">
        <v>123</v>
      </c>
      <c r="P93" s="828"/>
      <c r="Q93" s="828"/>
      <c r="R93" s="828"/>
      <c r="S93" s="828"/>
      <c r="T93" s="828"/>
      <c r="U93" s="828"/>
      <c r="V93" s="828"/>
      <c r="W93" s="874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35"/>
      <c r="AJ93" s="35"/>
      <c r="AK93" s="35"/>
      <c r="AL93" s="35"/>
    </row>
    <row r="94" spans="1:38" ht="18.75" x14ac:dyDescent="0.25">
      <c r="A94" s="33"/>
      <c r="B94" s="826"/>
      <c r="C94" s="827"/>
      <c r="D94" s="827"/>
      <c r="E94" s="827"/>
      <c r="F94" s="827" t="s">
        <v>175</v>
      </c>
      <c r="G94" s="827" t="s">
        <v>176</v>
      </c>
      <c r="H94" s="827" t="s">
        <v>177</v>
      </c>
      <c r="I94" s="827" t="s">
        <v>178</v>
      </c>
      <c r="J94" s="827" t="s">
        <v>179</v>
      </c>
      <c r="K94" s="827" t="s">
        <v>180</v>
      </c>
      <c r="L94" s="827" t="s">
        <v>181</v>
      </c>
      <c r="M94" s="827" t="s">
        <v>182</v>
      </c>
      <c r="N94" s="827" t="s">
        <v>183</v>
      </c>
      <c r="O94" s="827" t="s">
        <v>175</v>
      </c>
      <c r="P94" s="827" t="s">
        <v>176</v>
      </c>
      <c r="Q94" s="827" t="s">
        <v>177</v>
      </c>
      <c r="R94" s="827" t="s">
        <v>178</v>
      </c>
      <c r="S94" s="827" t="s">
        <v>179</v>
      </c>
      <c r="T94" s="827" t="s">
        <v>180</v>
      </c>
      <c r="U94" s="827" t="s">
        <v>181</v>
      </c>
      <c r="V94" s="827" t="s">
        <v>182</v>
      </c>
      <c r="W94" s="1004" t="s">
        <v>183</v>
      </c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35"/>
      <c r="AJ94" s="35"/>
      <c r="AK94" s="35"/>
      <c r="AL94" s="35"/>
    </row>
    <row r="95" spans="1:38" ht="18.75" x14ac:dyDescent="0.25">
      <c r="A95" s="33"/>
      <c r="B95" s="826"/>
      <c r="C95" s="827"/>
      <c r="D95" s="827"/>
      <c r="E95" s="827"/>
      <c r="F95" s="827"/>
      <c r="G95" s="827"/>
      <c r="H95" s="827"/>
      <c r="I95" s="827"/>
      <c r="J95" s="827"/>
      <c r="K95" s="827"/>
      <c r="L95" s="827"/>
      <c r="M95" s="827"/>
      <c r="N95" s="827"/>
      <c r="O95" s="827"/>
      <c r="P95" s="827"/>
      <c r="Q95" s="827"/>
      <c r="R95" s="827"/>
      <c r="S95" s="827"/>
      <c r="T95" s="827"/>
      <c r="U95" s="827"/>
      <c r="V95" s="827"/>
      <c r="W95" s="1004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35"/>
      <c r="AJ95" s="35"/>
      <c r="AK95" s="35"/>
      <c r="AL95" s="35"/>
    </row>
    <row r="96" spans="1:38" ht="18.75" x14ac:dyDescent="0.25">
      <c r="A96" s="33"/>
      <c r="B96" s="746"/>
      <c r="C96" s="745"/>
      <c r="D96" s="745"/>
      <c r="E96" s="745"/>
      <c r="F96" s="184"/>
      <c r="G96" s="184"/>
      <c r="H96" s="184"/>
      <c r="I96" s="184"/>
      <c r="J96" s="184"/>
      <c r="K96" s="184"/>
      <c r="L96" s="184"/>
      <c r="M96" s="184"/>
      <c r="N96" s="184"/>
      <c r="O96" s="131" t="str">
        <f>IF(F96="","",IF(ABS(F96-$I$13)&gt;$H$14,"NOT OK", "OK"))</f>
        <v/>
      </c>
      <c r="P96" s="131" t="str">
        <f>IF(G96="","",IF(ABS(G96-$J$13)&gt;$H$14,"NOT OK", "OK"))</f>
        <v/>
      </c>
      <c r="Q96" s="131" t="str">
        <f>IF(H96="","",IF(ABS(H96-$K$13)&gt;$H$14,"NOT OK", "OK"))</f>
        <v/>
      </c>
      <c r="R96" s="131" t="str">
        <f>IF(I96="","",IF(ABS(I96-$L$13)&gt;$H$14,"NOT OK", "OK"))</f>
        <v/>
      </c>
      <c r="S96" s="131" t="str">
        <f>IF(J96="","",IF(ABS(J96-$M$13)&gt;$H$14,"NOT OK", "OK"))</f>
        <v/>
      </c>
      <c r="T96" s="131" t="str">
        <f>IF(K96="","",IF(ABS(K96-$N$13)&gt;$H$14,"NOT OK", "OK"))</f>
        <v/>
      </c>
      <c r="U96" s="131" t="str">
        <f>IF(L96="","",IF(ABS(L96-$O$13)&gt;$H$14,"NOT OK", "OK"))</f>
        <v/>
      </c>
      <c r="V96" s="131" t="str">
        <f>IF(M96="","",IF(ABS(M96-$P$13)&gt;$H$14,"NOT OK", "OK"))</f>
        <v/>
      </c>
      <c r="W96" s="132" t="str">
        <f>IF(N96="","",IF(ABS(N96-$Q$13)&gt;$H$14,"NOT OK", "OK"))</f>
        <v/>
      </c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35"/>
      <c r="AJ96" s="35"/>
      <c r="AK96" s="35"/>
      <c r="AL96" s="35"/>
    </row>
    <row r="97" spans="1:38" ht="18.75" x14ac:dyDescent="0.25">
      <c r="A97" s="33"/>
      <c r="B97" s="746"/>
      <c r="C97" s="745"/>
      <c r="D97" s="745"/>
      <c r="E97" s="745"/>
      <c r="F97" s="184"/>
      <c r="G97" s="184"/>
      <c r="H97" s="184"/>
      <c r="I97" s="184"/>
      <c r="J97" s="184"/>
      <c r="K97" s="184"/>
      <c r="L97" s="184"/>
      <c r="M97" s="184"/>
      <c r="N97" s="184"/>
      <c r="O97" s="131" t="str">
        <f t="shared" ref="O97:O99" si="26">IF(F97="","",IF(ABS(F97-$I$13)&gt;$H$14,"NOT OK", "OK"))</f>
        <v/>
      </c>
      <c r="P97" s="131" t="str">
        <f t="shared" ref="P97:P99" si="27">IF(G97="","",IF(ABS(G97-$J$13)&gt;$H$14,"NOT OK", "OK"))</f>
        <v/>
      </c>
      <c r="Q97" s="131" t="str">
        <f t="shared" ref="Q97:Q99" si="28">IF(H97="","",IF(ABS(H97-$K$13)&gt;$H$14,"NOT OK", "OK"))</f>
        <v/>
      </c>
      <c r="R97" s="131" t="str">
        <f t="shared" ref="R97:R99" si="29">IF(I97="","",IF(ABS(I97-$L$13)&gt;$H$14,"NOT OK", "OK"))</f>
        <v/>
      </c>
      <c r="S97" s="131" t="str">
        <f t="shared" ref="S97:S99" si="30">IF(J97="","",IF(ABS(J97-$M$13)&gt;$H$14,"NOT OK", "OK"))</f>
        <v/>
      </c>
      <c r="T97" s="131" t="str">
        <f t="shared" ref="T97:T99" si="31">IF(K97="","",IF(ABS(K97-$N$13)&gt;$H$14,"NOT OK", "OK"))</f>
        <v/>
      </c>
      <c r="U97" s="131" t="str">
        <f t="shared" ref="U97:U99" si="32">IF(L97="","",IF(ABS(L97-$O$13)&gt;$H$14,"NOT OK", "OK"))</f>
        <v/>
      </c>
      <c r="V97" s="131" t="str">
        <f t="shared" ref="V97:V99" si="33">IF(M97="","",IF(ABS(M97-$P$13)&gt;$H$14,"NOT OK", "OK"))</f>
        <v/>
      </c>
      <c r="W97" s="132" t="str">
        <f t="shared" ref="W97:W99" si="34">IF(N97="","",IF(ABS(N97-$Q$13)&gt;$H$14,"NOT OK", "OK"))</f>
        <v/>
      </c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35"/>
      <c r="AJ97" s="35"/>
      <c r="AK97" s="35"/>
      <c r="AL97" s="35"/>
    </row>
    <row r="98" spans="1:38" ht="18.75" x14ac:dyDescent="0.25">
      <c r="A98" s="33"/>
      <c r="B98" s="746"/>
      <c r="C98" s="745"/>
      <c r="D98" s="745"/>
      <c r="E98" s="745"/>
      <c r="F98" s="184"/>
      <c r="G98" s="184"/>
      <c r="H98" s="184"/>
      <c r="I98" s="184"/>
      <c r="J98" s="184"/>
      <c r="K98" s="184"/>
      <c r="L98" s="184"/>
      <c r="M98" s="184"/>
      <c r="N98" s="184"/>
      <c r="O98" s="131" t="str">
        <f>IF(F98="","",IF(ABS(F98-$I$13)&gt;$H$14,"NOT OK", "OK"))</f>
        <v/>
      </c>
      <c r="P98" s="131" t="str">
        <f t="shared" si="27"/>
        <v/>
      </c>
      <c r="Q98" s="131" t="str">
        <f t="shared" si="28"/>
        <v/>
      </c>
      <c r="R98" s="131" t="str">
        <f t="shared" si="29"/>
        <v/>
      </c>
      <c r="S98" s="131" t="str">
        <f t="shared" si="30"/>
        <v/>
      </c>
      <c r="T98" s="131" t="str">
        <f t="shared" si="31"/>
        <v/>
      </c>
      <c r="U98" s="131" t="str">
        <f t="shared" si="32"/>
        <v/>
      </c>
      <c r="V98" s="131" t="str">
        <f t="shared" si="33"/>
        <v/>
      </c>
      <c r="W98" s="132" t="str">
        <f t="shared" si="34"/>
        <v/>
      </c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35"/>
      <c r="AJ98" s="35"/>
      <c r="AK98" s="35"/>
      <c r="AL98" s="35"/>
    </row>
    <row r="99" spans="1:38" ht="18.75" x14ac:dyDescent="0.25">
      <c r="A99" s="33"/>
      <c r="B99" s="746"/>
      <c r="C99" s="745"/>
      <c r="D99" s="745"/>
      <c r="E99" s="745"/>
      <c r="F99" s="184"/>
      <c r="G99" s="184"/>
      <c r="H99" s="184"/>
      <c r="I99" s="184"/>
      <c r="J99" s="184"/>
      <c r="K99" s="184"/>
      <c r="L99" s="184"/>
      <c r="M99" s="184"/>
      <c r="N99" s="184"/>
      <c r="O99" s="131" t="str">
        <f t="shared" si="26"/>
        <v/>
      </c>
      <c r="P99" s="131" t="str">
        <f t="shared" si="27"/>
        <v/>
      </c>
      <c r="Q99" s="131" t="str">
        <f t="shared" si="28"/>
        <v/>
      </c>
      <c r="R99" s="131" t="str">
        <f t="shared" si="29"/>
        <v/>
      </c>
      <c r="S99" s="131" t="str">
        <f t="shared" si="30"/>
        <v/>
      </c>
      <c r="T99" s="131" t="str">
        <f t="shared" si="31"/>
        <v/>
      </c>
      <c r="U99" s="131" t="str">
        <f t="shared" si="32"/>
        <v/>
      </c>
      <c r="V99" s="131" t="str">
        <f t="shared" si="33"/>
        <v/>
      </c>
      <c r="W99" s="132" t="str">
        <f t="shared" si="34"/>
        <v/>
      </c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35"/>
      <c r="AJ99" s="35"/>
      <c r="AK99" s="35"/>
      <c r="AL99" s="35"/>
    </row>
    <row r="100" spans="1:38" ht="18.75" x14ac:dyDescent="0.25">
      <c r="A100" s="33"/>
      <c r="B100" s="826" t="s">
        <v>28</v>
      </c>
      <c r="C100" s="827"/>
      <c r="D100" s="827" t="s">
        <v>185</v>
      </c>
      <c r="E100" s="827"/>
      <c r="F100" s="829" t="s">
        <v>1</v>
      </c>
      <c r="G100" s="829"/>
      <c r="H100" s="829"/>
      <c r="I100" s="829"/>
      <c r="J100" s="829"/>
      <c r="K100" s="829"/>
      <c r="L100" s="829"/>
      <c r="M100" s="829"/>
      <c r="N100" s="829"/>
      <c r="O100" s="829" t="s">
        <v>124</v>
      </c>
      <c r="P100" s="829"/>
      <c r="Q100" s="829"/>
      <c r="R100" s="829"/>
      <c r="S100" s="829"/>
      <c r="T100" s="829"/>
      <c r="U100" s="829"/>
      <c r="V100" s="829"/>
      <c r="W100" s="875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35"/>
      <c r="AJ100" s="35"/>
      <c r="AK100" s="35"/>
      <c r="AL100" s="35"/>
    </row>
    <row r="101" spans="1:38" ht="18.75" x14ac:dyDescent="0.25">
      <c r="A101" s="33"/>
      <c r="B101" s="826"/>
      <c r="C101" s="827"/>
      <c r="D101" s="827"/>
      <c r="E101" s="827"/>
      <c r="F101" s="827" t="s">
        <v>175</v>
      </c>
      <c r="G101" s="827" t="s">
        <v>176</v>
      </c>
      <c r="H101" s="827" t="s">
        <v>177</v>
      </c>
      <c r="I101" s="827" t="s">
        <v>178</v>
      </c>
      <c r="J101" s="827" t="s">
        <v>179</v>
      </c>
      <c r="K101" s="827" t="s">
        <v>180</v>
      </c>
      <c r="L101" s="827" t="s">
        <v>181</v>
      </c>
      <c r="M101" s="827" t="s">
        <v>182</v>
      </c>
      <c r="N101" s="827" t="s">
        <v>183</v>
      </c>
      <c r="O101" s="827" t="s">
        <v>175</v>
      </c>
      <c r="P101" s="827" t="s">
        <v>176</v>
      </c>
      <c r="Q101" s="827" t="s">
        <v>177</v>
      </c>
      <c r="R101" s="827" t="s">
        <v>178</v>
      </c>
      <c r="S101" s="827" t="s">
        <v>179</v>
      </c>
      <c r="T101" s="827" t="s">
        <v>180</v>
      </c>
      <c r="U101" s="827" t="s">
        <v>181</v>
      </c>
      <c r="V101" s="827" t="s">
        <v>182</v>
      </c>
      <c r="W101" s="1004" t="s">
        <v>183</v>
      </c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35"/>
      <c r="AJ101" s="35"/>
      <c r="AK101" s="35"/>
      <c r="AL101" s="35"/>
    </row>
    <row r="102" spans="1:38" ht="18.75" x14ac:dyDescent="0.25">
      <c r="A102" s="33"/>
      <c r="B102" s="826"/>
      <c r="C102" s="827"/>
      <c r="D102" s="827"/>
      <c r="E102" s="827"/>
      <c r="F102" s="827"/>
      <c r="G102" s="827"/>
      <c r="H102" s="827"/>
      <c r="I102" s="827"/>
      <c r="J102" s="827"/>
      <c r="K102" s="827"/>
      <c r="L102" s="827"/>
      <c r="M102" s="827"/>
      <c r="N102" s="827"/>
      <c r="O102" s="827"/>
      <c r="P102" s="827"/>
      <c r="Q102" s="827"/>
      <c r="R102" s="827"/>
      <c r="S102" s="827"/>
      <c r="T102" s="827"/>
      <c r="U102" s="827"/>
      <c r="V102" s="827"/>
      <c r="W102" s="1004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35"/>
      <c r="AJ102" s="35"/>
      <c r="AK102" s="35"/>
      <c r="AL102" s="35"/>
    </row>
    <row r="103" spans="1:38" ht="18.75" x14ac:dyDescent="0.25">
      <c r="A103" s="33"/>
      <c r="B103" s="746"/>
      <c r="C103" s="745"/>
      <c r="D103" s="745"/>
      <c r="E103" s="745"/>
      <c r="F103" s="184"/>
      <c r="G103" s="184"/>
      <c r="H103" s="184"/>
      <c r="I103" s="184"/>
      <c r="J103" s="184"/>
      <c r="K103" s="184"/>
      <c r="L103" s="184"/>
      <c r="M103" s="184"/>
      <c r="N103" s="184"/>
      <c r="O103" s="131" t="str">
        <f>IF(F103="","",IF(ABS(F103-$I$13)&gt;$H$14,"NOT OK", "OK"))</f>
        <v/>
      </c>
      <c r="P103" s="131" t="str">
        <f>IF(G103="","",IF(ABS(G103-$J$13)&gt;$H$14,"NOT OK", "OK"))</f>
        <v/>
      </c>
      <c r="Q103" s="131" t="str">
        <f>IF(H103="","",IF(ABS(H103-$K$13)&gt;$H$14,"NOT OK", "OK"))</f>
        <v/>
      </c>
      <c r="R103" s="131" t="str">
        <f>IF(I103="","",IF(ABS(I103-$L$13)&gt;$H$14,"NOT OK", "OK"))</f>
        <v/>
      </c>
      <c r="S103" s="131" t="str">
        <f>IF(J103="","",IF(ABS(J103-$M$13)&gt;$H$14,"NOT OK", "OK"))</f>
        <v/>
      </c>
      <c r="T103" s="131" t="str">
        <f>IF(K103="","",IF(ABS(K103-$N$13)&gt;$H$14,"NOT OK", "OK"))</f>
        <v/>
      </c>
      <c r="U103" s="131" t="str">
        <f>IF(L103="","",IF(ABS(L103-$O$13)&gt;$H$14,"NOT OK", "OK"))</f>
        <v/>
      </c>
      <c r="V103" s="131" t="str">
        <f>IF(M103="","",IF(ABS(M103-$P$13)&gt;$H$14,"NOT OK", "OK"))</f>
        <v/>
      </c>
      <c r="W103" s="132" t="str">
        <f>IF(N103="","",IF(ABS(N103-$Q$13)&gt;$H$14,"NOT OK", "OK"))</f>
        <v/>
      </c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35"/>
      <c r="AJ103" s="35"/>
      <c r="AK103" s="35"/>
      <c r="AL103" s="35"/>
    </row>
    <row r="104" spans="1:38" ht="18.75" x14ac:dyDescent="0.25">
      <c r="A104" s="33"/>
      <c r="B104" s="746"/>
      <c r="C104" s="745"/>
      <c r="D104" s="745"/>
      <c r="E104" s="745"/>
      <c r="F104" s="184"/>
      <c r="G104" s="184"/>
      <c r="H104" s="184"/>
      <c r="I104" s="184"/>
      <c r="J104" s="184"/>
      <c r="K104" s="184"/>
      <c r="L104" s="184"/>
      <c r="M104" s="184"/>
      <c r="N104" s="184"/>
      <c r="O104" s="131" t="str">
        <f t="shared" ref="O104" si="35">IF(F104="","",IF(ABS(F104-$I$13)&gt;$H$14,"NOT OK", "OK"))</f>
        <v/>
      </c>
      <c r="P104" s="131" t="str">
        <f t="shared" ref="P104:P106" si="36">IF(G104="","",IF(ABS(G104-$J$13)&gt;$H$14,"NOT OK", "OK"))</f>
        <v/>
      </c>
      <c r="Q104" s="131" t="str">
        <f t="shared" ref="Q104:Q106" si="37">IF(H104="","",IF(ABS(H104-$K$13)&gt;$H$14,"NOT OK", "OK"))</f>
        <v/>
      </c>
      <c r="R104" s="131" t="str">
        <f t="shared" ref="R104:R106" si="38">IF(I104="","",IF(ABS(I104-$L$13)&gt;$H$14,"NOT OK", "OK"))</f>
        <v/>
      </c>
      <c r="S104" s="131" t="str">
        <f t="shared" ref="S104:S106" si="39">IF(J104="","",IF(ABS(J104-$M$13)&gt;$H$14,"NOT OK", "OK"))</f>
        <v/>
      </c>
      <c r="T104" s="131" t="str">
        <f t="shared" ref="T104:T106" si="40">IF(K104="","",IF(ABS(K104-$N$13)&gt;$H$14,"NOT OK", "OK"))</f>
        <v/>
      </c>
      <c r="U104" s="131" t="str">
        <f t="shared" ref="U104:U106" si="41">IF(L104="","",IF(ABS(L104-$O$13)&gt;$H$14,"NOT OK", "OK"))</f>
        <v/>
      </c>
      <c r="V104" s="131" t="str">
        <f t="shared" ref="V104:V106" si="42">IF(M104="","",IF(ABS(M104-$P$13)&gt;$H$14,"NOT OK", "OK"))</f>
        <v/>
      </c>
      <c r="W104" s="132" t="str">
        <f t="shared" ref="W104:W106" si="43">IF(N104="","",IF(ABS(N104-$Q$13)&gt;$H$14,"NOT OK", "OK"))</f>
        <v/>
      </c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35"/>
      <c r="AJ104" s="35"/>
      <c r="AK104" s="35"/>
      <c r="AL104" s="35"/>
    </row>
    <row r="105" spans="1:38" ht="18.75" x14ac:dyDescent="0.25">
      <c r="A105" s="33"/>
      <c r="B105" s="746"/>
      <c r="C105" s="745"/>
      <c r="D105" s="745"/>
      <c r="E105" s="745"/>
      <c r="F105" s="184"/>
      <c r="G105" s="184"/>
      <c r="H105" s="184"/>
      <c r="I105" s="184"/>
      <c r="J105" s="184"/>
      <c r="K105" s="184"/>
      <c r="L105" s="184"/>
      <c r="M105" s="184"/>
      <c r="N105" s="184"/>
      <c r="O105" s="131" t="str">
        <f>IF(F105="","",IF(ABS(F105-$I$13)&gt;$H$14,"NOT OK", "OK"))</f>
        <v/>
      </c>
      <c r="P105" s="131" t="str">
        <f t="shared" si="36"/>
        <v/>
      </c>
      <c r="Q105" s="131" t="str">
        <f t="shared" si="37"/>
        <v/>
      </c>
      <c r="R105" s="131" t="str">
        <f>IF(I105="","",IF(ABS(I105-$L$13)&gt;$H$14,"NOT OK", "OK"))</f>
        <v/>
      </c>
      <c r="S105" s="131" t="str">
        <f t="shared" si="39"/>
        <v/>
      </c>
      <c r="T105" s="131" t="str">
        <f t="shared" si="40"/>
        <v/>
      </c>
      <c r="U105" s="131" t="str">
        <f t="shared" si="41"/>
        <v/>
      </c>
      <c r="V105" s="131" t="str">
        <f t="shared" si="42"/>
        <v/>
      </c>
      <c r="W105" s="132" t="str">
        <f t="shared" si="43"/>
        <v/>
      </c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35"/>
      <c r="AJ105" s="35"/>
      <c r="AK105" s="35"/>
      <c r="AL105" s="35"/>
    </row>
    <row r="106" spans="1:38" ht="19.5" thickBot="1" x14ac:dyDescent="0.3">
      <c r="A106" s="33"/>
      <c r="B106" s="746"/>
      <c r="C106" s="745"/>
      <c r="D106" s="745"/>
      <c r="E106" s="745"/>
      <c r="F106" s="184"/>
      <c r="G106" s="184"/>
      <c r="H106" s="184"/>
      <c r="I106" s="184"/>
      <c r="J106" s="184"/>
      <c r="K106" s="184"/>
      <c r="L106" s="184"/>
      <c r="M106" s="184"/>
      <c r="N106" s="184"/>
      <c r="O106" s="133" t="str">
        <f t="shared" ref="O106" si="44">IF(F106="","",IF(ABS(F106-$I$13)&gt;$H$14,"NOT OK", "OK"))</f>
        <v/>
      </c>
      <c r="P106" s="133" t="str">
        <f t="shared" si="36"/>
        <v/>
      </c>
      <c r="Q106" s="133" t="str">
        <f t="shared" si="37"/>
        <v/>
      </c>
      <c r="R106" s="133" t="str">
        <f t="shared" si="38"/>
        <v/>
      </c>
      <c r="S106" s="133" t="str">
        <f t="shared" si="39"/>
        <v/>
      </c>
      <c r="T106" s="133" t="str">
        <f t="shared" si="40"/>
        <v/>
      </c>
      <c r="U106" s="133" t="str">
        <f t="shared" si="41"/>
        <v/>
      </c>
      <c r="V106" s="133" t="str">
        <f t="shared" si="42"/>
        <v/>
      </c>
      <c r="W106" s="134" t="str">
        <f t="shared" si="43"/>
        <v/>
      </c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35"/>
      <c r="AJ106" s="35"/>
      <c r="AK106" s="35"/>
      <c r="AL106" s="35"/>
    </row>
    <row r="107" spans="1:38" ht="18.75" x14ac:dyDescent="0.25">
      <c r="A107" s="33"/>
      <c r="B107" s="4"/>
      <c r="C107" s="4"/>
      <c r="D107" s="4"/>
      <c r="E107" s="4"/>
      <c r="F107" s="17"/>
      <c r="G107" s="17"/>
      <c r="H107" s="17"/>
      <c r="I107" s="17"/>
      <c r="J107" s="17"/>
      <c r="K107" s="17"/>
      <c r="L107" s="17"/>
      <c r="M107" s="17"/>
      <c r="N107" s="17"/>
      <c r="O107" s="142"/>
      <c r="P107" s="142"/>
      <c r="Q107" s="142"/>
      <c r="R107" s="142"/>
      <c r="S107" s="142"/>
      <c r="T107" s="142"/>
      <c r="U107" s="142"/>
      <c r="V107" s="142"/>
      <c r="W107" s="142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35"/>
      <c r="AJ107" s="35"/>
      <c r="AK107" s="35"/>
      <c r="AL107" s="35"/>
    </row>
    <row r="108" spans="1:38" ht="21" customHeight="1" thickBot="1" x14ac:dyDescent="0.3">
      <c r="A108" s="33"/>
      <c r="B108" s="4"/>
      <c r="C108" s="4"/>
      <c r="D108" s="4"/>
      <c r="E108" s="4"/>
      <c r="F108" s="17"/>
      <c r="G108" s="17"/>
      <c r="H108" s="17"/>
      <c r="I108" s="17"/>
      <c r="J108" s="17"/>
      <c r="K108" s="17"/>
      <c r="L108" s="17"/>
      <c r="M108" s="17"/>
      <c r="N108" s="17"/>
      <c r="O108" s="142"/>
      <c r="P108" s="142"/>
      <c r="Q108" s="142"/>
      <c r="R108" s="142"/>
      <c r="S108" s="142"/>
      <c r="T108" s="142"/>
      <c r="U108" s="142"/>
      <c r="V108" s="142"/>
      <c r="W108" s="142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35"/>
      <c r="AJ108" s="35"/>
      <c r="AK108" s="35"/>
      <c r="AL108" s="35"/>
    </row>
    <row r="109" spans="1:38" ht="23.25" customHeight="1" x14ac:dyDescent="0.25">
      <c r="A109" s="33"/>
      <c r="B109" s="4"/>
      <c r="C109" s="4"/>
      <c r="D109" s="4"/>
      <c r="E109" s="4"/>
      <c r="F109" s="863" t="s">
        <v>184</v>
      </c>
      <c r="G109" s="828"/>
      <c r="H109" s="828"/>
      <c r="I109" s="828"/>
      <c r="J109" s="828"/>
      <c r="K109" s="828"/>
      <c r="L109" s="828"/>
      <c r="M109" s="828"/>
      <c r="N109" s="874"/>
      <c r="O109" s="142"/>
      <c r="P109" s="142"/>
      <c r="Q109" s="142"/>
      <c r="R109" s="142"/>
      <c r="S109" s="142"/>
      <c r="T109" s="142"/>
      <c r="U109" s="142"/>
      <c r="V109" s="142"/>
      <c r="W109" s="142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35"/>
      <c r="AJ109" s="35"/>
      <c r="AK109" s="35"/>
      <c r="AL109" s="35"/>
    </row>
    <row r="110" spans="1:38" ht="23.25" customHeight="1" x14ac:dyDescent="0.25">
      <c r="A110" s="33"/>
      <c r="B110" s="4"/>
      <c r="C110" s="4"/>
      <c r="D110" s="4"/>
      <c r="E110" s="4"/>
      <c r="F110" s="826" t="s">
        <v>175</v>
      </c>
      <c r="G110" s="827" t="s">
        <v>176</v>
      </c>
      <c r="H110" s="827" t="s">
        <v>177</v>
      </c>
      <c r="I110" s="827" t="s">
        <v>178</v>
      </c>
      <c r="J110" s="827" t="s">
        <v>179</v>
      </c>
      <c r="K110" s="827" t="s">
        <v>180</v>
      </c>
      <c r="L110" s="827" t="s">
        <v>181</v>
      </c>
      <c r="M110" s="827" t="s">
        <v>182</v>
      </c>
      <c r="N110" s="1004" t="s">
        <v>183</v>
      </c>
      <c r="O110" s="142"/>
      <c r="P110" s="142"/>
      <c r="Q110" s="142"/>
      <c r="R110" s="142"/>
      <c r="S110" s="142"/>
      <c r="T110" s="142"/>
      <c r="U110" s="142"/>
      <c r="V110" s="142"/>
      <c r="W110" s="142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35"/>
      <c r="AJ110" s="35"/>
      <c r="AK110" s="35"/>
      <c r="AL110" s="35"/>
    </row>
    <row r="111" spans="1:38" ht="23.25" customHeight="1" x14ac:dyDescent="0.25">
      <c r="A111" s="33"/>
      <c r="B111" s="4"/>
      <c r="C111" s="4"/>
      <c r="D111" s="4"/>
      <c r="E111" s="4"/>
      <c r="F111" s="826"/>
      <c r="G111" s="827"/>
      <c r="H111" s="827"/>
      <c r="I111" s="827"/>
      <c r="J111" s="827"/>
      <c r="K111" s="827"/>
      <c r="L111" s="827"/>
      <c r="M111" s="827"/>
      <c r="N111" s="1004"/>
      <c r="O111" s="142"/>
      <c r="P111" s="142"/>
      <c r="Q111" s="142"/>
      <c r="R111" s="142"/>
      <c r="S111" s="142"/>
      <c r="T111" s="142"/>
      <c r="U111" s="142"/>
      <c r="V111" s="142"/>
      <c r="W111" s="142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35"/>
      <c r="AJ111" s="35"/>
      <c r="AK111" s="35"/>
      <c r="AL111" s="35"/>
    </row>
    <row r="112" spans="1:38" ht="23.25" customHeight="1" x14ac:dyDescent="0.25">
      <c r="A112" s="33"/>
      <c r="B112" s="4"/>
      <c r="C112" s="4"/>
      <c r="D112" s="4"/>
      <c r="E112" s="4"/>
      <c r="F112" s="169" t="str">
        <f>IF(OR(F96="",F103=""),"",ABS(F96-F103))</f>
        <v/>
      </c>
      <c r="G112" s="131" t="str">
        <f t="shared" ref="G112:N112" si="45">IF(OR(G96="",G103=""),"",ABS(G96-G103))</f>
        <v/>
      </c>
      <c r="H112" s="131" t="str">
        <f t="shared" si="45"/>
        <v/>
      </c>
      <c r="I112" s="131" t="str">
        <f t="shared" si="45"/>
        <v/>
      </c>
      <c r="J112" s="131" t="str">
        <f t="shared" si="45"/>
        <v/>
      </c>
      <c r="K112" s="131" t="str">
        <f t="shared" si="45"/>
        <v/>
      </c>
      <c r="L112" s="131" t="str">
        <f t="shared" si="45"/>
        <v/>
      </c>
      <c r="M112" s="131" t="str">
        <f t="shared" si="45"/>
        <v/>
      </c>
      <c r="N112" s="132" t="str">
        <f t="shared" si="45"/>
        <v/>
      </c>
      <c r="O112" s="142"/>
      <c r="P112" s="142"/>
      <c r="Q112" s="142"/>
      <c r="R112" s="142"/>
      <c r="S112" s="142"/>
      <c r="T112" s="142"/>
      <c r="U112" s="142"/>
      <c r="V112" s="142"/>
      <c r="W112" s="142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35"/>
      <c r="AJ112" s="35"/>
      <c r="AK112" s="35"/>
      <c r="AL112" s="35"/>
    </row>
    <row r="113" spans="1:38" ht="23.25" customHeight="1" x14ac:dyDescent="0.25">
      <c r="A113" s="33"/>
      <c r="B113" s="4"/>
      <c r="C113" s="4"/>
      <c r="D113" s="4"/>
      <c r="E113" s="4"/>
      <c r="F113" s="169" t="str">
        <f t="shared" ref="F113:N115" si="46">IF(OR(F97="",F104=""),"",ABS(F97-F104))</f>
        <v/>
      </c>
      <c r="G113" s="131" t="str">
        <f t="shared" si="46"/>
        <v/>
      </c>
      <c r="H113" s="131" t="str">
        <f t="shared" si="46"/>
        <v/>
      </c>
      <c r="I113" s="131" t="str">
        <f t="shared" si="46"/>
        <v/>
      </c>
      <c r="J113" s="131" t="str">
        <f t="shared" si="46"/>
        <v/>
      </c>
      <c r="K113" s="131" t="str">
        <f t="shared" si="46"/>
        <v/>
      </c>
      <c r="L113" s="131" t="str">
        <f t="shared" si="46"/>
        <v/>
      </c>
      <c r="M113" s="131" t="str">
        <f t="shared" si="46"/>
        <v/>
      </c>
      <c r="N113" s="132" t="str">
        <f t="shared" si="46"/>
        <v/>
      </c>
      <c r="O113" s="142"/>
      <c r="P113" s="142"/>
      <c r="Q113" s="142"/>
      <c r="R113" s="142"/>
      <c r="S113" s="142"/>
      <c r="T113" s="142"/>
      <c r="U113" s="142"/>
      <c r="V113" s="142"/>
      <c r="W113" s="142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35"/>
      <c r="AJ113" s="35"/>
      <c r="AK113" s="35"/>
      <c r="AL113" s="35"/>
    </row>
    <row r="114" spans="1:38" ht="23.25" customHeight="1" x14ac:dyDescent="0.25">
      <c r="A114" s="33"/>
      <c r="B114" s="4"/>
      <c r="C114" s="4"/>
      <c r="D114" s="4"/>
      <c r="E114" s="4"/>
      <c r="F114" s="169" t="str">
        <f t="shared" si="46"/>
        <v/>
      </c>
      <c r="G114" s="131" t="str">
        <f t="shared" si="46"/>
        <v/>
      </c>
      <c r="H114" s="131" t="str">
        <f t="shared" si="46"/>
        <v/>
      </c>
      <c r="I114" s="131" t="str">
        <f t="shared" si="46"/>
        <v/>
      </c>
      <c r="J114" s="131" t="str">
        <f t="shared" si="46"/>
        <v/>
      </c>
      <c r="K114" s="131" t="str">
        <f t="shared" si="46"/>
        <v/>
      </c>
      <c r="L114" s="131" t="str">
        <f t="shared" si="46"/>
        <v/>
      </c>
      <c r="M114" s="131" t="str">
        <f t="shared" si="46"/>
        <v/>
      </c>
      <c r="N114" s="132" t="str">
        <f t="shared" si="46"/>
        <v/>
      </c>
      <c r="O114" s="142"/>
      <c r="P114" s="142"/>
      <c r="Q114" s="142"/>
      <c r="R114" s="142"/>
      <c r="S114" s="142"/>
      <c r="T114" s="142"/>
      <c r="U114" s="142"/>
      <c r="V114" s="142"/>
      <c r="W114" s="142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35"/>
      <c r="AJ114" s="35"/>
      <c r="AK114" s="35"/>
      <c r="AL114" s="35"/>
    </row>
    <row r="115" spans="1:38" ht="23.25" customHeight="1" thickBot="1" x14ac:dyDescent="0.3">
      <c r="A115" s="33"/>
      <c r="B115" s="4"/>
      <c r="C115" s="4"/>
      <c r="D115" s="4"/>
      <c r="E115" s="4"/>
      <c r="F115" s="170" t="str">
        <f t="shared" si="46"/>
        <v/>
      </c>
      <c r="G115" s="133" t="str">
        <f t="shared" si="46"/>
        <v/>
      </c>
      <c r="H115" s="133" t="str">
        <f t="shared" si="46"/>
        <v/>
      </c>
      <c r="I115" s="133" t="str">
        <f t="shared" si="46"/>
        <v/>
      </c>
      <c r="J115" s="133" t="str">
        <f t="shared" si="46"/>
        <v/>
      </c>
      <c r="K115" s="133" t="str">
        <f t="shared" si="46"/>
        <v/>
      </c>
      <c r="L115" s="133" t="str">
        <f t="shared" si="46"/>
        <v/>
      </c>
      <c r="M115" s="133" t="str">
        <f t="shared" si="46"/>
        <v/>
      </c>
      <c r="N115" s="134" t="str">
        <f>IF(OR(N99="",N106=""),"",ABS(N99-N106))</f>
        <v/>
      </c>
      <c r="O115" s="142"/>
      <c r="P115" s="142"/>
      <c r="Q115" s="142"/>
      <c r="R115" s="142"/>
      <c r="S115" s="142"/>
      <c r="T115" s="142"/>
      <c r="U115" s="142"/>
      <c r="V115" s="142"/>
      <c r="W115" s="142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35"/>
      <c r="AJ115" s="35"/>
      <c r="AK115" s="35"/>
      <c r="AL115" s="35"/>
    </row>
    <row r="116" spans="1:38" ht="23.25" customHeight="1" thickBot="1" x14ac:dyDescent="0.3">
      <c r="A116" s="3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142"/>
      <c r="P116" s="142"/>
      <c r="Q116" s="142"/>
      <c r="R116" s="142"/>
      <c r="S116" s="142"/>
      <c r="T116" s="142"/>
      <c r="U116" s="142"/>
      <c r="V116" s="142"/>
      <c r="W116" s="142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35"/>
      <c r="AJ116" s="35"/>
      <c r="AK116" s="35"/>
      <c r="AL116" s="35"/>
    </row>
    <row r="117" spans="1:38" ht="23.25" customHeight="1" x14ac:dyDescent="0.25">
      <c r="A117" s="33"/>
      <c r="B117" s="4"/>
      <c r="C117" s="4"/>
      <c r="D117" s="4"/>
      <c r="E117" s="4"/>
      <c r="F117" s="824" t="s">
        <v>175</v>
      </c>
      <c r="G117" s="825" t="s">
        <v>176</v>
      </c>
      <c r="H117" s="825" t="s">
        <v>177</v>
      </c>
      <c r="I117" s="825" t="s">
        <v>178</v>
      </c>
      <c r="J117" s="825" t="s">
        <v>179</v>
      </c>
      <c r="K117" s="825" t="s">
        <v>180</v>
      </c>
      <c r="L117" s="825" t="s">
        <v>181</v>
      </c>
      <c r="M117" s="825" t="s">
        <v>182</v>
      </c>
      <c r="N117" s="1019" t="s">
        <v>183</v>
      </c>
      <c r="O117" s="142"/>
      <c r="P117" s="142"/>
      <c r="Q117" s="142"/>
      <c r="R117" s="142"/>
      <c r="S117" s="142"/>
      <c r="T117" s="142"/>
      <c r="U117" s="142"/>
      <c r="V117" s="142"/>
      <c r="W117" s="142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35"/>
      <c r="AJ117" s="35"/>
      <c r="AK117" s="35"/>
      <c r="AL117" s="35"/>
    </row>
    <row r="118" spans="1:38" ht="23.25" customHeight="1" thickBot="1" x14ac:dyDescent="0.3">
      <c r="A118" s="33"/>
      <c r="B118" s="4"/>
      <c r="C118" s="4"/>
      <c r="D118" s="4"/>
      <c r="E118" s="4"/>
      <c r="F118" s="1022"/>
      <c r="G118" s="1021"/>
      <c r="H118" s="1021"/>
      <c r="I118" s="1021"/>
      <c r="J118" s="1021"/>
      <c r="K118" s="1021"/>
      <c r="L118" s="1021"/>
      <c r="M118" s="1021"/>
      <c r="N118" s="1020"/>
      <c r="O118" s="142"/>
      <c r="P118" s="142"/>
      <c r="Q118" s="142"/>
      <c r="R118" s="142"/>
      <c r="S118" s="142"/>
      <c r="T118" s="142"/>
      <c r="U118" s="142"/>
      <c r="V118" s="142"/>
      <c r="W118" s="142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35"/>
      <c r="AJ118" s="35"/>
      <c r="AK118" s="35"/>
      <c r="AL118" s="35"/>
    </row>
    <row r="119" spans="1:38" ht="23.25" customHeight="1" x14ac:dyDescent="0.25">
      <c r="A119" s="33"/>
      <c r="B119" s="762" t="s">
        <v>125</v>
      </c>
      <c r="C119" s="763"/>
      <c r="D119" s="763"/>
      <c r="E119" s="763"/>
      <c r="F119" s="143" t="str">
        <f>IF(F96="","",_xlfn.MODE.SNGL(F96:F99,F103:F106))</f>
        <v/>
      </c>
      <c r="G119" s="143" t="str">
        <f t="shared" ref="G119:N119" si="47">IF(G96="","",_xlfn.MODE.SNGL(G96:G99,G103:G106))</f>
        <v/>
      </c>
      <c r="H119" s="143" t="str">
        <f t="shared" si="47"/>
        <v/>
      </c>
      <c r="I119" s="143" t="str">
        <f t="shared" si="47"/>
        <v/>
      </c>
      <c r="J119" s="143" t="str">
        <f t="shared" si="47"/>
        <v/>
      </c>
      <c r="K119" s="143" t="str">
        <f t="shared" si="47"/>
        <v/>
      </c>
      <c r="L119" s="143" t="str">
        <f t="shared" si="47"/>
        <v/>
      </c>
      <c r="M119" s="143" t="str">
        <f t="shared" si="47"/>
        <v/>
      </c>
      <c r="N119" s="144" t="str">
        <f t="shared" si="47"/>
        <v/>
      </c>
      <c r="O119" s="142"/>
      <c r="P119" s="142"/>
      <c r="Q119" s="142"/>
      <c r="R119" s="142"/>
      <c r="S119" s="142"/>
      <c r="T119" s="142"/>
      <c r="U119" s="142"/>
      <c r="V119" s="142"/>
      <c r="W119" s="142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35"/>
      <c r="AJ119" s="35"/>
      <c r="AK119" s="35"/>
      <c r="AL119" s="35"/>
    </row>
    <row r="120" spans="1:38" ht="23.25" customHeight="1" x14ac:dyDescent="0.25">
      <c r="A120" s="33"/>
      <c r="B120" s="1002" t="s">
        <v>126</v>
      </c>
      <c r="C120" s="1003"/>
      <c r="D120" s="1003"/>
      <c r="E120" s="1003"/>
      <c r="F120" s="145" t="str">
        <f>IF(F96="","",MEDIAN(F96:F99,F103:F106))</f>
        <v/>
      </c>
      <c r="G120" s="145" t="str">
        <f t="shared" ref="G120:N120" si="48">IF(G96="","",MEDIAN(G96:G99,G103:G106))</f>
        <v/>
      </c>
      <c r="H120" s="145" t="str">
        <f t="shared" si="48"/>
        <v/>
      </c>
      <c r="I120" s="145" t="str">
        <f t="shared" si="48"/>
        <v/>
      </c>
      <c r="J120" s="145" t="str">
        <f t="shared" si="48"/>
        <v/>
      </c>
      <c r="K120" s="145" t="str">
        <f t="shared" si="48"/>
        <v/>
      </c>
      <c r="L120" s="145" t="str">
        <f t="shared" si="48"/>
        <v/>
      </c>
      <c r="M120" s="145" t="str">
        <f t="shared" si="48"/>
        <v/>
      </c>
      <c r="N120" s="146" t="str">
        <f t="shared" si="48"/>
        <v/>
      </c>
      <c r="O120" s="142"/>
      <c r="P120" s="142"/>
      <c r="Q120" s="142"/>
      <c r="R120" s="142"/>
      <c r="S120" s="142"/>
      <c r="T120" s="142"/>
      <c r="U120" s="142"/>
      <c r="V120" s="142"/>
      <c r="W120" s="142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35"/>
      <c r="AJ120" s="35"/>
      <c r="AK120" s="35"/>
      <c r="AL120" s="35"/>
    </row>
    <row r="121" spans="1:38" ht="51.75" customHeight="1" x14ac:dyDescent="0.25">
      <c r="A121" s="33"/>
      <c r="B121" s="939" t="s">
        <v>130</v>
      </c>
      <c r="C121" s="940"/>
      <c r="D121" s="940"/>
      <c r="E121" s="940"/>
      <c r="F121" s="987" t="str">
        <f>IF(F96="","",IF(AND(OR(O96=$AA$4,O96=""),OR(O97=$AA$4,O97=""),OR(O98=$AA$4,O98=""),OR(O99=$AA$4,O99=""),OR(O103=$AA$4,O103=""),OR(O104=$AA$4,O104=""),OR(O105=$AA$4,O105=""),OR(O106=$AA$4,O106=""),OR(F112&lt;=$H$14,F112=""),OR(F113&lt;=$H$14,F113=""),OR(F114&lt;=$H$14,F114=""),OR(F115&lt;=$H$14,F115="")),"Les échantillons sont stables", "Les échantillons ne sont pas stables;remplacer par d'autre résultats"))</f>
        <v/>
      </c>
      <c r="G121" s="987" t="str">
        <f t="shared" ref="G121:M121" si="49">IF(G96="","",IF(AND(OR(P96=$AA$4,P96=""),OR(P97=$AA$4,P97=""),OR(P98=$AA$4,P98=""),OR(P99=$AA$4,P99=""),OR(P103=$AA$4,P103=""),OR(P104=$AA$4,P104=""),OR(P105=$AA$4,P105=""),OR(P106=$AA$4,P106=""),OR(G112&lt;=$H$14,G112=""),OR(G113&lt;=$H$14,G113=""),OR(G114&lt;=$H$14,G114=""),OR(G115&lt;=$H$14,G115="")),"Les échantillons sont stables", "Les échantillons ne sont pas stables;remplacer par d'autre résultats"))</f>
        <v/>
      </c>
      <c r="H121" s="987" t="str">
        <f t="shared" si="49"/>
        <v/>
      </c>
      <c r="I121" s="987" t="str">
        <f t="shared" si="49"/>
        <v/>
      </c>
      <c r="J121" s="987" t="str">
        <f t="shared" si="49"/>
        <v/>
      </c>
      <c r="K121" s="987" t="str">
        <f t="shared" si="49"/>
        <v/>
      </c>
      <c r="L121" s="987" t="str">
        <f t="shared" si="49"/>
        <v/>
      </c>
      <c r="M121" s="987" t="str">
        <f t="shared" si="49"/>
        <v/>
      </c>
      <c r="N121" s="989" t="str">
        <f>IF(N96="","",IF(AND(OR(W96=$AA$4,W96=""),OR(W97=$AA$4,W97=""),OR(W98=$AA$4,W98=""),OR(W99=$AA$4,W99=""),OR(W103=$AA$4,W103=""),OR(W104=$AA$4,W104=""),OR(W105=$AA$4,W105=""),OR(W106=$AA$4,W106=""),OR(N112&lt;=$H$14,N112=""),OR(N113&lt;=$H$14,N113=""),OR(N114&lt;=$H$14,N114=""),OR(N115&lt;=$H$14,N115="")),"Les échantillons sont stables", "Les échantillons ne sont pas stables;remplacer par d'autre résultats"))</f>
        <v/>
      </c>
      <c r="O121" s="142"/>
      <c r="P121" s="142"/>
      <c r="Q121" s="142"/>
      <c r="R121" s="142"/>
      <c r="S121" s="142"/>
      <c r="T121" s="142"/>
      <c r="U121" s="142"/>
      <c r="V121" s="142"/>
      <c r="W121" s="142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35"/>
      <c r="AJ121" s="35"/>
      <c r="AK121" s="35"/>
      <c r="AL121" s="35"/>
    </row>
    <row r="122" spans="1:38" ht="55.5" customHeight="1" x14ac:dyDescent="0.25">
      <c r="A122" s="33"/>
      <c r="B122" s="939"/>
      <c r="C122" s="940"/>
      <c r="D122" s="940"/>
      <c r="E122" s="940"/>
      <c r="F122" s="987"/>
      <c r="G122" s="987"/>
      <c r="H122" s="987"/>
      <c r="I122" s="987"/>
      <c r="J122" s="987"/>
      <c r="K122" s="987"/>
      <c r="L122" s="987"/>
      <c r="M122" s="987"/>
      <c r="N122" s="989"/>
      <c r="O122" s="142"/>
      <c r="P122" s="142"/>
      <c r="Q122" s="142"/>
      <c r="R122" s="142"/>
      <c r="S122" s="142"/>
      <c r="T122" s="142"/>
      <c r="U122" s="142"/>
      <c r="V122" s="142"/>
      <c r="W122" s="142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35"/>
      <c r="AJ122" s="35"/>
      <c r="AK122" s="35"/>
      <c r="AL122" s="35"/>
    </row>
    <row r="123" spans="1:38" ht="63.75" customHeight="1" x14ac:dyDescent="0.25">
      <c r="A123" s="33"/>
      <c r="B123" s="939"/>
      <c r="C123" s="940"/>
      <c r="D123" s="940"/>
      <c r="E123" s="940"/>
      <c r="F123" s="987"/>
      <c r="G123" s="987"/>
      <c r="H123" s="987"/>
      <c r="I123" s="987"/>
      <c r="J123" s="987"/>
      <c r="K123" s="987"/>
      <c r="L123" s="987"/>
      <c r="M123" s="987"/>
      <c r="N123" s="989"/>
      <c r="O123" s="142"/>
      <c r="P123" s="142"/>
      <c r="Q123" s="142"/>
      <c r="R123" s="142"/>
      <c r="S123" s="142"/>
      <c r="T123" s="142"/>
      <c r="U123" s="142"/>
      <c r="V123" s="142"/>
      <c r="W123" s="142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35"/>
      <c r="AJ123" s="35"/>
      <c r="AK123" s="35"/>
      <c r="AL123" s="35"/>
    </row>
    <row r="124" spans="1:38" ht="63.75" customHeight="1" thickBot="1" x14ac:dyDescent="0.3">
      <c r="A124" s="33"/>
      <c r="B124" s="1011" t="s">
        <v>228</v>
      </c>
      <c r="C124" s="1012"/>
      <c r="D124" s="1012"/>
      <c r="E124" s="1012"/>
      <c r="F124" s="129"/>
      <c r="G124" s="129"/>
      <c r="H124" s="129"/>
      <c r="I124" s="129"/>
      <c r="J124" s="129"/>
      <c r="K124" s="129"/>
      <c r="L124" s="129"/>
      <c r="M124" s="129"/>
      <c r="N124" s="130"/>
      <c r="O124" s="142"/>
      <c r="P124" s="142"/>
      <c r="Q124" s="142"/>
      <c r="R124" s="142"/>
      <c r="S124" s="142"/>
      <c r="T124" s="142"/>
      <c r="U124" s="142"/>
      <c r="V124" s="142"/>
      <c r="W124" s="142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35"/>
      <c r="AJ124" s="35"/>
      <c r="AK124" s="35"/>
      <c r="AL124" s="35"/>
    </row>
    <row r="125" spans="1:38" ht="23.25" customHeight="1" x14ac:dyDescent="0.25">
      <c r="A125" s="3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142"/>
      <c r="P125" s="142"/>
      <c r="Q125" s="142"/>
      <c r="R125" s="142"/>
      <c r="S125" s="142"/>
      <c r="T125" s="142"/>
      <c r="U125" s="142"/>
      <c r="V125" s="142"/>
      <c r="W125" s="142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35"/>
      <c r="AJ125" s="35"/>
      <c r="AK125" s="35"/>
      <c r="AL125" s="35"/>
    </row>
    <row r="126" spans="1:38" ht="23.25" customHeight="1" thickBot="1" x14ac:dyDescent="0.3">
      <c r="A126" s="3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142"/>
      <c r="P126" s="142"/>
      <c r="Q126" s="142"/>
      <c r="R126" s="142"/>
      <c r="S126" s="142"/>
      <c r="T126" s="142"/>
      <c r="U126" s="142"/>
      <c r="V126" s="142"/>
      <c r="W126" s="142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35"/>
      <c r="AJ126" s="35"/>
      <c r="AK126" s="35"/>
      <c r="AL126" s="35"/>
    </row>
    <row r="127" spans="1:38" ht="23.25" customHeight="1" x14ac:dyDescent="0.25">
      <c r="A127" s="33"/>
      <c r="B127" s="4"/>
      <c r="C127" s="4"/>
      <c r="D127" s="4"/>
      <c r="E127" s="4"/>
      <c r="F127" s="824" t="s">
        <v>175</v>
      </c>
      <c r="G127" s="825" t="s">
        <v>176</v>
      </c>
      <c r="H127" s="825" t="s">
        <v>177</v>
      </c>
      <c r="I127" s="825" t="s">
        <v>178</v>
      </c>
      <c r="J127" s="825" t="s">
        <v>179</v>
      </c>
      <c r="K127" s="825" t="s">
        <v>180</v>
      </c>
      <c r="L127" s="825" t="s">
        <v>181</v>
      </c>
      <c r="M127" s="825" t="s">
        <v>182</v>
      </c>
      <c r="N127" s="1019" t="s">
        <v>183</v>
      </c>
      <c r="O127" s="142"/>
      <c r="P127" s="142"/>
      <c r="Q127" s="142"/>
      <c r="R127" s="142"/>
      <c r="S127" s="142"/>
      <c r="T127" s="142"/>
      <c r="U127" s="142"/>
      <c r="V127" s="142"/>
      <c r="W127" s="142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35"/>
      <c r="AJ127" s="35"/>
      <c r="AK127" s="35"/>
      <c r="AL127" s="35"/>
    </row>
    <row r="128" spans="1:38" ht="25.5" customHeight="1" thickBot="1" x14ac:dyDescent="0.3">
      <c r="A128" s="33"/>
      <c r="B128" s="40"/>
      <c r="C128" s="40"/>
      <c r="D128" s="40"/>
      <c r="E128" s="40"/>
      <c r="F128" s="1022"/>
      <c r="G128" s="1021"/>
      <c r="H128" s="1021"/>
      <c r="I128" s="1021"/>
      <c r="J128" s="1021"/>
      <c r="K128" s="1021"/>
      <c r="L128" s="1021"/>
      <c r="M128" s="1021"/>
      <c r="N128" s="1020"/>
      <c r="O128" s="35"/>
      <c r="P128" s="35"/>
      <c r="Q128" s="35"/>
      <c r="R128" s="35"/>
      <c r="S128" s="35"/>
      <c r="T128" s="35"/>
      <c r="U128" s="35"/>
      <c r="V128" s="35"/>
      <c r="W128" s="35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</row>
    <row r="129" spans="1:27" ht="46.5" customHeight="1" x14ac:dyDescent="0.25">
      <c r="A129" s="33"/>
      <c r="B129" s="762" t="s">
        <v>131</v>
      </c>
      <c r="C129" s="763"/>
      <c r="D129" s="763"/>
      <c r="E129" s="763"/>
      <c r="F129" s="147" t="str">
        <f t="shared" ref="F129:N129" si="50">IF(F96="","",IF(ABS(F119-F69)&gt;$H$14, "Les échantillons ne sont pas stables", "Les échantillons sont stables"))</f>
        <v/>
      </c>
      <c r="G129" s="147" t="str">
        <f t="shared" si="50"/>
        <v/>
      </c>
      <c r="H129" s="147" t="str">
        <f t="shared" si="50"/>
        <v/>
      </c>
      <c r="I129" s="147" t="str">
        <f t="shared" si="50"/>
        <v/>
      </c>
      <c r="J129" s="147" t="str">
        <f t="shared" si="50"/>
        <v/>
      </c>
      <c r="K129" s="147" t="str">
        <f t="shared" si="50"/>
        <v/>
      </c>
      <c r="L129" s="147" t="str">
        <f t="shared" si="50"/>
        <v/>
      </c>
      <c r="M129" s="147" t="str">
        <f t="shared" si="50"/>
        <v/>
      </c>
      <c r="N129" s="148" t="str">
        <f t="shared" si="50"/>
        <v/>
      </c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</row>
    <row r="130" spans="1:27" ht="45.75" customHeight="1" x14ac:dyDescent="0.25">
      <c r="A130" s="33"/>
      <c r="B130" s="1002" t="s">
        <v>132</v>
      </c>
      <c r="C130" s="1003"/>
      <c r="D130" s="1003"/>
      <c r="E130" s="1003"/>
      <c r="F130" s="149" t="str">
        <f t="shared" ref="F130:N130" si="51">IF(F96="","",IF(ABS(F120-F70)&gt;$H$14, "Les échantillons ne sont pas stables", "Les échantillons sont stables"))</f>
        <v/>
      </c>
      <c r="G130" s="149" t="str">
        <f t="shared" si="51"/>
        <v/>
      </c>
      <c r="H130" s="149" t="str">
        <f t="shared" si="51"/>
        <v/>
      </c>
      <c r="I130" s="149" t="str">
        <f t="shared" si="51"/>
        <v/>
      </c>
      <c r="J130" s="149" t="str">
        <f t="shared" si="51"/>
        <v/>
      </c>
      <c r="K130" s="149" t="str">
        <f t="shared" si="51"/>
        <v/>
      </c>
      <c r="L130" s="149" t="str">
        <f t="shared" si="51"/>
        <v/>
      </c>
      <c r="M130" s="149" t="str">
        <f t="shared" si="51"/>
        <v/>
      </c>
      <c r="N130" s="150" t="str">
        <f t="shared" si="51"/>
        <v/>
      </c>
      <c r="O130" s="35"/>
      <c r="P130" s="35"/>
      <c r="Q130" s="35"/>
      <c r="R130" s="35"/>
      <c r="S130" s="35"/>
      <c r="T130" s="35"/>
      <c r="U130" s="35"/>
      <c r="V130" s="35"/>
      <c r="W130" s="35"/>
    </row>
    <row r="131" spans="1:27" ht="42" customHeight="1" x14ac:dyDescent="0.25">
      <c r="A131" s="33"/>
      <c r="B131" s="939" t="s">
        <v>240</v>
      </c>
      <c r="C131" s="940"/>
      <c r="D131" s="940"/>
      <c r="E131" s="940"/>
      <c r="F131" s="987" t="str">
        <f t="shared" ref="F131:N131" si="52">IF(F96="","", IF($H$12=$AA$1, F129, IF($H$12=$AA$2, F130)))</f>
        <v/>
      </c>
      <c r="G131" s="987" t="str">
        <f t="shared" si="52"/>
        <v/>
      </c>
      <c r="H131" s="987" t="str">
        <f t="shared" si="52"/>
        <v/>
      </c>
      <c r="I131" s="987" t="str">
        <f t="shared" si="52"/>
        <v/>
      </c>
      <c r="J131" s="987" t="str">
        <f t="shared" si="52"/>
        <v/>
      </c>
      <c r="K131" s="987" t="str">
        <f t="shared" si="52"/>
        <v/>
      </c>
      <c r="L131" s="987" t="str">
        <f t="shared" si="52"/>
        <v/>
      </c>
      <c r="M131" s="987" t="str">
        <f t="shared" si="52"/>
        <v/>
      </c>
      <c r="N131" s="989" t="str">
        <f t="shared" si="52"/>
        <v/>
      </c>
      <c r="O131" s="35"/>
      <c r="P131" s="35"/>
      <c r="Q131" s="35"/>
      <c r="R131" s="35"/>
      <c r="S131" s="35"/>
      <c r="T131" s="35"/>
      <c r="U131" s="35"/>
      <c r="V131" s="35"/>
      <c r="W131" s="35"/>
    </row>
    <row r="132" spans="1:27" ht="43.5" customHeight="1" x14ac:dyDescent="0.25">
      <c r="A132" s="33"/>
      <c r="B132" s="939"/>
      <c r="C132" s="940"/>
      <c r="D132" s="940"/>
      <c r="E132" s="940"/>
      <c r="F132" s="987"/>
      <c r="G132" s="987"/>
      <c r="H132" s="987"/>
      <c r="I132" s="987"/>
      <c r="J132" s="987"/>
      <c r="K132" s="987"/>
      <c r="L132" s="987"/>
      <c r="M132" s="987"/>
      <c r="N132" s="989"/>
      <c r="O132" s="35"/>
      <c r="P132" s="35"/>
      <c r="Q132" s="35"/>
      <c r="R132" s="35"/>
      <c r="S132" s="35"/>
      <c r="T132" s="35"/>
      <c r="U132" s="35"/>
      <c r="V132" s="35"/>
      <c r="W132" s="35"/>
    </row>
    <row r="133" spans="1:27" ht="42" customHeight="1" thickBot="1" x14ac:dyDescent="0.3">
      <c r="A133" s="33"/>
      <c r="B133" s="783"/>
      <c r="C133" s="784"/>
      <c r="D133" s="784"/>
      <c r="E133" s="784"/>
      <c r="F133" s="988"/>
      <c r="G133" s="988"/>
      <c r="H133" s="988"/>
      <c r="I133" s="988"/>
      <c r="J133" s="988"/>
      <c r="K133" s="988"/>
      <c r="L133" s="988"/>
      <c r="M133" s="988"/>
      <c r="N133" s="999"/>
      <c r="O133" s="35"/>
      <c r="P133" s="35"/>
      <c r="Q133" s="35"/>
      <c r="R133" s="35"/>
      <c r="S133" s="35"/>
      <c r="T133" s="35"/>
      <c r="U133" s="35"/>
      <c r="V133" s="35"/>
      <c r="W133" s="35"/>
    </row>
    <row r="134" spans="1:27" ht="18.75" customHeight="1" thickBot="1" x14ac:dyDescent="0.3">
      <c r="A134" s="33"/>
      <c r="B134" s="33"/>
      <c r="C134" s="33"/>
      <c r="D134" s="33"/>
      <c r="E134" s="33"/>
      <c r="F134" s="33"/>
      <c r="G134" s="33"/>
      <c r="H134" s="33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</row>
    <row r="135" spans="1:27" ht="22.5" customHeight="1" thickBot="1" x14ac:dyDescent="0.3">
      <c r="A135" s="33"/>
      <c r="B135" s="1065" t="s">
        <v>134</v>
      </c>
      <c r="C135" s="1066"/>
      <c r="D135" s="1066"/>
      <c r="E135" s="1066"/>
      <c r="F135" s="1066"/>
      <c r="G135" s="1066"/>
      <c r="H135" s="1066"/>
      <c r="I135" s="1066"/>
      <c r="J135" s="1066"/>
      <c r="K135" s="1066"/>
      <c r="L135" s="1066"/>
      <c r="M135" s="1066"/>
      <c r="N135" s="1066"/>
      <c r="O135" s="1066"/>
      <c r="P135" s="1066"/>
      <c r="Q135" s="1066"/>
      <c r="R135" s="1066"/>
      <c r="S135" s="1066"/>
      <c r="T135" s="1067"/>
    </row>
    <row r="136" spans="1:27" ht="15.75" thickBot="1" x14ac:dyDescent="0.3">
      <c r="A136" s="33"/>
    </row>
    <row r="137" spans="1:27" ht="25.5" customHeight="1" x14ac:dyDescent="0.25">
      <c r="A137" s="33"/>
      <c r="B137" s="1057" t="s">
        <v>32</v>
      </c>
      <c r="C137" s="1058"/>
      <c r="D137" s="1058"/>
      <c r="E137" s="1059"/>
      <c r="F137" s="834"/>
      <c r="G137" s="835"/>
      <c r="H137" s="836"/>
      <c r="I137" s="40"/>
      <c r="J137" s="40"/>
      <c r="K137" s="40"/>
      <c r="L137" s="40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</row>
    <row r="138" spans="1:27" ht="25.5" customHeight="1" x14ac:dyDescent="0.25">
      <c r="A138" s="33"/>
      <c r="B138" s="922" t="s">
        <v>135</v>
      </c>
      <c r="C138" s="923"/>
      <c r="D138" s="923"/>
      <c r="E138" s="924"/>
      <c r="F138" s="1009"/>
      <c r="G138" s="1063"/>
      <c r="H138" s="1064"/>
      <c r="I138" s="40"/>
      <c r="J138" s="40"/>
      <c r="K138" s="40"/>
      <c r="L138" s="40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</row>
    <row r="139" spans="1:27" ht="25.5" customHeight="1" x14ac:dyDescent="0.25">
      <c r="A139" s="33"/>
      <c r="B139" s="922" t="s">
        <v>136</v>
      </c>
      <c r="C139" s="923"/>
      <c r="D139" s="923"/>
      <c r="E139" s="924"/>
      <c r="F139" s="1009"/>
      <c r="G139" s="1063"/>
      <c r="H139" s="1064"/>
      <c r="I139" s="40"/>
      <c r="J139" s="40"/>
      <c r="K139" s="40"/>
      <c r="L139" s="40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</row>
    <row r="140" spans="1:27" ht="25.5" customHeight="1" x14ac:dyDescent="0.25">
      <c r="A140" s="33"/>
      <c r="B140" s="922" t="s">
        <v>137</v>
      </c>
      <c r="C140" s="923"/>
      <c r="D140" s="923"/>
      <c r="E140" s="924"/>
      <c r="F140" s="1009"/>
      <c r="G140" s="1063"/>
      <c r="H140" s="1064"/>
      <c r="I140" s="40"/>
      <c r="J140" s="40"/>
      <c r="K140" s="40"/>
      <c r="L140" s="40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</row>
    <row r="141" spans="1:27" ht="34.5" customHeight="1" x14ac:dyDescent="0.25">
      <c r="A141" s="33"/>
      <c r="B141" s="922" t="s">
        <v>138</v>
      </c>
      <c r="C141" s="923"/>
      <c r="D141" s="923"/>
      <c r="E141" s="924"/>
      <c r="F141" s="1009"/>
      <c r="G141" s="1063"/>
      <c r="H141" s="1064"/>
      <c r="I141" s="40"/>
      <c r="J141" s="40"/>
      <c r="K141" s="40"/>
      <c r="L141" s="40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</row>
    <row r="142" spans="1:27" ht="38.25" customHeight="1" x14ac:dyDescent="0.25">
      <c r="A142" s="33"/>
      <c r="B142" s="922" t="s">
        <v>201</v>
      </c>
      <c r="C142" s="923"/>
      <c r="D142" s="923"/>
      <c r="E142" s="924"/>
      <c r="F142" s="837" t="str">
        <f>IF(F154="","",COUNT(F154:F157))</f>
        <v/>
      </c>
      <c r="G142" s="837"/>
      <c r="H142" s="838"/>
      <c r="I142" s="40"/>
      <c r="J142" s="40"/>
      <c r="K142" s="40"/>
      <c r="L142" s="40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</row>
    <row r="143" spans="1:27" ht="25.5" customHeight="1" thickBot="1" x14ac:dyDescent="0.3">
      <c r="A143" s="33"/>
      <c r="B143" s="1060" t="s">
        <v>16</v>
      </c>
      <c r="C143" s="1061"/>
      <c r="D143" s="1061"/>
      <c r="E143" s="1062"/>
      <c r="F143" s="822">
        <v>2</v>
      </c>
      <c r="G143" s="822"/>
      <c r="H143" s="823"/>
      <c r="I143" s="40"/>
      <c r="J143" s="40"/>
      <c r="K143" s="40"/>
      <c r="L143" s="40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</row>
    <row r="144" spans="1:27" ht="25.5" customHeight="1" thickBot="1" x14ac:dyDescent="0.3">
      <c r="A144" s="33"/>
      <c r="B144" s="172"/>
      <c r="C144" s="172"/>
      <c r="D144" s="172"/>
      <c r="E144" s="172"/>
      <c r="F144" s="5"/>
      <c r="G144" s="5"/>
      <c r="H144" s="5"/>
      <c r="I144" s="40"/>
      <c r="J144" s="40"/>
      <c r="K144" s="40"/>
      <c r="L144" s="40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</row>
    <row r="145" spans="1:38" ht="25.5" customHeight="1" x14ac:dyDescent="0.25">
      <c r="A145" s="33"/>
      <c r="B145" s="976" t="s">
        <v>223</v>
      </c>
      <c r="C145" s="977"/>
      <c r="D145" s="977"/>
      <c r="E145" s="977"/>
      <c r="F145" s="977"/>
      <c r="G145" s="977"/>
      <c r="H145" s="977"/>
      <c r="I145" s="977"/>
      <c r="J145" s="977"/>
      <c r="K145" s="977"/>
      <c r="L145" s="977"/>
      <c r="M145" s="977"/>
      <c r="N145" s="978"/>
      <c r="O145" s="35"/>
      <c r="P145" s="35"/>
      <c r="Q145" s="35"/>
      <c r="R145" s="35"/>
      <c r="S145" s="35"/>
      <c r="T145" s="35"/>
      <c r="U145" s="35"/>
      <c r="V145" s="35"/>
      <c r="W145" s="35"/>
      <c r="X145" s="35"/>
    </row>
    <row r="146" spans="1:38" ht="34.5" customHeight="1" x14ac:dyDescent="0.25">
      <c r="A146" s="33"/>
      <c r="B146" s="979"/>
      <c r="C146" s="980"/>
      <c r="D146" s="980"/>
      <c r="E146" s="981"/>
      <c r="F146" s="166" t="s">
        <v>175</v>
      </c>
      <c r="G146" s="166" t="s">
        <v>176</v>
      </c>
      <c r="H146" s="166" t="s">
        <v>177</v>
      </c>
      <c r="I146" s="166" t="s">
        <v>178</v>
      </c>
      <c r="J146" s="166" t="s">
        <v>179</v>
      </c>
      <c r="K146" s="166" t="s">
        <v>180</v>
      </c>
      <c r="L146" s="166" t="s">
        <v>181</v>
      </c>
      <c r="M146" s="166" t="s">
        <v>182</v>
      </c>
      <c r="N146" s="166" t="s">
        <v>183</v>
      </c>
      <c r="O146" s="35"/>
      <c r="P146" s="35"/>
      <c r="Q146" s="35"/>
      <c r="R146" s="35"/>
      <c r="S146" s="35"/>
      <c r="T146" s="35"/>
      <c r="U146" s="35"/>
      <c r="V146" s="35"/>
      <c r="W146" s="35"/>
      <c r="X146" s="35"/>
    </row>
    <row r="147" spans="1:38" ht="25.5" customHeight="1" x14ac:dyDescent="0.25">
      <c r="A147" s="33"/>
      <c r="B147" s="868" t="s">
        <v>224</v>
      </c>
      <c r="C147" s="869"/>
      <c r="D147" s="869"/>
      <c r="E147" s="869"/>
      <c r="F147" s="43" t="str">
        <f>IF(F69="","",F69)</f>
        <v/>
      </c>
      <c r="G147" s="43" t="str">
        <f t="shared" ref="G147:N147" si="53">IF(G69="","",G69)</f>
        <v/>
      </c>
      <c r="H147" s="43" t="str">
        <f t="shared" si="53"/>
        <v/>
      </c>
      <c r="I147" s="43" t="str">
        <f t="shared" si="53"/>
        <v/>
      </c>
      <c r="J147" s="43" t="str">
        <f t="shared" si="53"/>
        <v/>
      </c>
      <c r="K147" s="43" t="str">
        <f t="shared" si="53"/>
        <v/>
      </c>
      <c r="L147" s="43" t="str">
        <f t="shared" si="53"/>
        <v/>
      </c>
      <c r="M147" s="43" t="str">
        <f t="shared" si="53"/>
        <v/>
      </c>
      <c r="N147" s="43" t="str">
        <f t="shared" si="53"/>
        <v/>
      </c>
      <c r="O147" s="35"/>
      <c r="P147" s="35"/>
      <c r="Q147" s="35"/>
      <c r="R147" s="35"/>
      <c r="S147" s="35"/>
      <c r="T147" s="35"/>
      <c r="U147" s="35"/>
      <c r="V147" s="35"/>
      <c r="W147" s="35"/>
      <c r="X147" s="35"/>
    </row>
    <row r="148" spans="1:38" ht="25.5" customHeight="1" thickBot="1" x14ac:dyDescent="0.3">
      <c r="A148" s="33"/>
      <c r="B148" s="870" t="s">
        <v>225</v>
      </c>
      <c r="C148" s="871"/>
      <c r="D148" s="871"/>
      <c r="E148" s="871"/>
      <c r="F148" s="171" t="str">
        <f>IF(F70="","",F70)</f>
        <v/>
      </c>
      <c r="G148" s="171" t="str">
        <f t="shared" ref="G148:N148" si="54">IF(G70="","",G70)</f>
        <v/>
      </c>
      <c r="H148" s="171" t="str">
        <f t="shared" si="54"/>
        <v/>
      </c>
      <c r="I148" s="171" t="str">
        <f t="shared" si="54"/>
        <v/>
      </c>
      <c r="J148" s="171" t="str">
        <f t="shared" si="54"/>
        <v/>
      </c>
      <c r="K148" s="171" t="str">
        <f t="shared" si="54"/>
        <v/>
      </c>
      <c r="L148" s="171" t="str">
        <f t="shared" si="54"/>
        <v/>
      </c>
      <c r="M148" s="171" t="str">
        <f t="shared" si="54"/>
        <v/>
      </c>
      <c r="N148" s="171" t="str">
        <f t="shared" si="54"/>
        <v/>
      </c>
      <c r="O148" s="35"/>
      <c r="P148" s="35"/>
      <c r="Q148" s="35"/>
      <c r="R148" s="35"/>
      <c r="S148" s="35"/>
      <c r="T148" s="35"/>
      <c r="U148" s="35"/>
      <c r="V148" s="35"/>
      <c r="W148" s="35"/>
      <c r="X148" s="35"/>
    </row>
    <row r="149" spans="1:38" ht="25.5" customHeight="1" thickBot="1" x14ac:dyDescent="0.3">
      <c r="A149" s="33"/>
      <c r="B149" s="172"/>
      <c r="C149" s="172"/>
      <c r="D149" s="172"/>
      <c r="E149" s="172"/>
      <c r="F149" s="5"/>
      <c r="G149" s="5"/>
      <c r="H149" s="5"/>
      <c r="I149" s="40"/>
      <c r="J149" s="40"/>
      <c r="K149" s="40"/>
      <c r="L149" s="40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</row>
    <row r="150" spans="1:38" ht="29.25" customHeight="1" thickBot="1" x14ac:dyDescent="0.3">
      <c r="A150" s="33"/>
      <c r="B150" s="1005" t="s">
        <v>186</v>
      </c>
      <c r="C150" s="1006"/>
      <c r="D150" s="1006"/>
      <c r="E150" s="1006"/>
      <c r="F150" s="1006"/>
      <c r="G150" s="1006"/>
      <c r="H150" s="1006"/>
      <c r="I150" s="1006"/>
      <c r="J150" s="1007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35"/>
      <c r="AJ150" s="35"/>
      <c r="AK150" s="35"/>
      <c r="AL150" s="35"/>
    </row>
    <row r="151" spans="1:38" ht="18.75" x14ac:dyDescent="0.25">
      <c r="A151" s="33"/>
      <c r="B151" s="824" t="s">
        <v>28</v>
      </c>
      <c r="C151" s="825"/>
      <c r="D151" s="825" t="s">
        <v>122</v>
      </c>
      <c r="E151" s="825"/>
      <c r="F151" s="828" t="s">
        <v>0</v>
      </c>
      <c r="G151" s="828"/>
      <c r="H151" s="828"/>
      <c r="I151" s="828"/>
      <c r="J151" s="828"/>
      <c r="K151" s="828"/>
      <c r="L151" s="828"/>
      <c r="M151" s="828"/>
      <c r="N151" s="828"/>
      <c r="O151" s="828" t="s">
        <v>123</v>
      </c>
      <c r="P151" s="828"/>
      <c r="Q151" s="828"/>
      <c r="R151" s="828"/>
      <c r="S151" s="828"/>
      <c r="T151" s="828"/>
      <c r="U151" s="828"/>
      <c r="V151" s="828"/>
      <c r="W151" s="874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35"/>
      <c r="AJ151" s="35"/>
      <c r="AK151" s="35"/>
      <c r="AL151" s="35"/>
    </row>
    <row r="152" spans="1:38" ht="18.75" x14ac:dyDescent="0.25">
      <c r="A152" s="33"/>
      <c r="B152" s="826"/>
      <c r="C152" s="827"/>
      <c r="D152" s="827"/>
      <c r="E152" s="827"/>
      <c r="F152" s="827" t="s">
        <v>175</v>
      </c>
      <c r="G152" s="827" t="s">
        <v>176</v>
      </c>
      <c r="H152" s="827" t="s">
        <v>177</v>
      </c>
      <c r="I152" s="827" t="s">
        <v>178</v>
      </c>
      <c r="J152" s="827" t="s">
        <v>179</v>
      </c>
      <c r="K152" s="827" t="s">
        <v>180</v>
      </c>
      <c r="L152" s="827" t="s">
        <v>181</v>
      </c>
      <c r="M152" s="827" t="s">
        <v>182</v>
      </c>
      <c r="N152" s="827" t="s">
        <v>183</v>
      </c>
      <c r="O152" s="827" t="s">
        <v>175</v>
      </c>
      <c r="P152" s="827" t="s">
        <v>176</v>
      </c>
      <c r="Q152" s="827" t="s">
        <v>177</v>
      </c>
      <c r="R152" s="827" t="s">
        <v>178</v>
      </c>
      <c r="S152" s="827" t="s">
        <v>179</v>
      </c>
      <c r="T152" s="827" t="s">
        <v>180</v>
      </c>
      <c r="U152" s="827" t="s">
        <v>181</v>
      </c>
      <c r="V152" s="827" t="s">
        <v>182</v>
      </c>
      <c r="W152" s="1004" t="s">
        <v>183</v>
      </c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35"/>
      <c r="AJ152" s="35"/>
      <c r="AK152" s="35"/>
      <c r="AL152" s="35"/>
    </row>
    <row r="153" spans="1:38" ht="18.75" x14ac:dyDescent="0.25">
      <c r="A153" s="33"/>
      <c r="B153" s="826"/>
      <c r="C153" s="827"/>
      <c r="D153" s="827"/>
      <c r="E153" s="827"/>
      <c r="F153" s="827"/>
      <c r="G153" s="827"/>
      <c r="H153" s="827"/>
      <c r="I153" s="827"/>
      <c r="J153" s="827"/>
      <c r="K153" s="827"/>
      <c r="L153" s="827"/>
      <c r="M153" s="827"/>
      <c r="N153" s="827"/>
      <c r="O153" s="827"/>
      <c r="P153" s="827"/>
      <c r="Q153" s="827"/>
      <c r="R153" s="827"/>
      <c r="S153" s="827"/>
      <c r="T153" s="827"/>
      <c r="U153" s="827"/>
      <c r="V153" s="827"/>
      <c r="W153" s="1004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35"/>
      <c r="AJ153" s="35"/>
      <c r="AK153" s="35"/>
      <c r="AL153" s="35"/>
    </row>
    <row r="154" spans="1:38" ht="18.75" x14ac:dyDescent="0.25">
      <c r="A154" s="33"/>
      <c r="B154" s="746"/>
      <c r="C154" s="745"/>
      <c r="D154" s="745"/>
      <c r="E154" s="745"/>
      <c r="F154" s="127"/>
      <c r="G154" s="127"/>
      <c r="H154" s="127"/>
      <c r="I154" s="127"/>
      <c r="J154" s="127"/>
      <c r="K154" s="127"/>
      <c r="L154" s="127"/>
      <c r="M154" s="127"/>
      <c r="N154" s="127"/>
      <c r="O154" s="131" t="str">
        <f>IF(F154="","",IF(ABS(F154-$I$13)&gt;$H$14,"NOT OK", "OK"))</f>
        <v/>
      </c>
      <c r="P154" s="131" t="str">
        <f>IF(G154="","",IF(ABS(G154-$J$13)&gt;$H$14,"NOT OK", "OK"))</f>
        <v/>
      </c>
      <c r="Q154" s="131" t="str">
        <f>IF(H154="","",IF(ABS(H154-$K$13)&gt;$H$14,"NOT OK", "OK"))</f>
        <v/>
      </c>
      <c r="R154" s="131" t="str">
        <f>IF(I154="","",IF(ABS(I154-$L$13)&gt;$H$14,"NOT OK", "OK"))</f>
        <v/>
      </c>
      <c r="S154" s="131" t="str">
        <f>IF(J154="","",IF(ABS(J154-$M$13)&gt;$H$14,"NOT OK", "OK"))</f>
        <v/>
      </c>
      <c r="T154" s="131" t="str">
        <f>IF(K154="","",IF(ABS(K154-$N$13)&gt;$H$14,"NOT OK", "OK"))</f>
        <v/>
      </c>
      <c r="U154" s="131" t="str">
        <f>IF(L154="","",IF(ABS(L154-$O$13)&gt;$H$14,"NOT OK", "OK"))</f>
        <v/>
      </c>
      <c r="V154" s="131" t="str">
        <f>IF(M154="","",IF(ABS(M154-$P$13)&gt;$H$14,"NOT OK", "OK"))</f>
        <v/>
      </c>
      <c r="W154" s="132" t="str">
        <f>IF(N154="","",IF(ABS(N154-$Q$13)&gt;$H$14,"NOT OK", "OK"))</f>
        <v/>
      </c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35"/>
      <c r="AJ154" s="35"/>
      <c r="AK154" s="35"/>
      <c r="AL154" s="35"/>
    </row>
    <row r="155" spans="1:38" ht="18.75" x14ac:dyDescent="0.25">
      <c r="A155" s="33"/>
      <c r="B155" s="746"/>
      <c r="C155" s="745"/>
      <c r="D155" s="745"/>
      <c r="E155" s="745"/>
      <c r="F155" s="127"/>
      <c r="G155" s="127"/>
      <c r="H155" s="127"/>
      <c r="I155" s="127"/>
      <c r="J155" s="127"/>
      <c r="K155" s="127"/>
      <c r="L155" s="127"/>
      <c r="M155" s="127"/>
      <c r="N155" s="127"/>
      <c r="O155" s="131" t="str">
        <f t="shared" ref="O155:O157" si="55">IF(F155="","",IF(ABS(F155-$I$13)&gt;$H$14,"NOT OK", "OK"))</f>
        <v/>
      </c>
      <c r="P155" s="131" t="str">
        <f t="shared" ref="P155:P157" si="56">IF(G155="","",IF(ABS(G155-$J$13)&gt;$H$14,"NOT OK", "OK"))</f>
        <v/>
      </c>
      <c r="Q155" s="131" t="str">
        <f t="shared" ref="Q155:Q157" si="57">IF(H155="","",IF(ABS(H155-$K$13)&gt;$H$14,"NOT OK", "OK"))</f>
        <v/>
      </c>
      <c r="R155" s="131" t="str">
        <f t="shared" ref="R155:R157" si="58">IF(I155="","",IF(ABS(I155-$L$13)&gt;$H$14,"NOT OK", "OK"))</f>
        <v/>
      </c>
      <c r="S155" s="131" t="str">
        <f t="shared" ref="S155:S157" si="59">IF(J155="","",IF(ABS(J155-$M$13)&gt;$H$14,"NOT OK", "OK"))</f>
        <v/>
      </c>
      <c r="T155" s="131" t="str">
        <f t="shared" ref="T155:T157" si="60">IF(K155="","",IF(ABS(K155-$N$13)&gt;$H$14,"NOT OK", "OK"))</f>
        <v/>
      </c>
      <c r="U155" s="131" t="str">
        <f t="shared" ref="U155:U157" si="61">IF(L155="","",IF(ABS(L155-$O$13)&gt;$H$14,"NOT OK", "OK"))</f>
        <v/>
      </c>
      <c r="V155" s="131" t="str">
        <f t="shared" ref="V155:V157" si="62">IF(M155="","",IF(ABS(M155-$P$13)&gt;$H$14,"NOT OK", "OK"))</f>
        <v/>
      </c>
      <c r="W155" s="132" t="str">
        <f t="shared" ref="W155:W157" si="63">IF(N155="","",IF(ABS(N155-$Q$13)&gt;$H$14,"NOT OK", "OK"))</f>
        <v/>
      </c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35"/>
      <c r="AJ155" s="35"/>
      <c r="AK155" s="35"/>
      <c r="AL155" s="35"/>
    </row>
    <row r="156" spans="1:38" ht="18.75" x14ac:dyDescent="0.25">
      <c r="A156" s="33"/>
      <c r="B156" s="746"/>
      <c r="C156" s="745"/>
      <c r="D156" s="745"/>
      <c r="E156" s="745"/>
      <c r="F156" s="127"/>
      <c r="G156" s="127"/>
      <c r="H156" s="127"/>
      <c r="I156" s="127"/>
      <c r="J156" s="127"/>
      <c r="K156" s="127"/>
      <c r="L156" s="127"/>
      <c r="M156" s="127"/>
      <c r="N156" s="127"/>
      <c r="O156" s="131" t="str">
        <f t="shared" si="55"/>
        <v/>
      </c>
      <c r="P156" s="131" t="str">
        <f t="shared" si="56"/>
        <v/>
      </c>
      <c r="Q156" s="131" t="str">
        <f t="shared" si="57"/>
        <v/>
      </c>
      <c r="R156" s="131" t="str">
        <f t="shared" si="58"/>
        <v/>
      </c>
      <c r="S156" s="131" t="str">
        <f>IF(J156="","",IF(ABS(J156-$M$13)&gt;$H$14,"NOT OK", "OK"))</f>
        <v/>
      </c>
      <c r="T156" s="131" t="str">
        <f t="shared" si="60"/>
        <v/>
      </c>
      <c r="U156" s="131" t="str">
        <f t="shared" si="61"/>
        <v/>
      </c>
      <c r="V156" s="131" t="str">
        <f t="shared" si="62"/>
        <v/>
      </c>
      <c r="W156" s="132" t="str">
        <f t="shared" si="63"/>
        <v/>
      </c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35"/>
      <c r="AJ156" s="35"/>
      <c r="AK156" s="35"/>
      <c r="AL156" s="35"/>
    </row>
    <row r="157" spans="1:38" ht="18.75" x14ac:dyDescent="0.25">
      <c r="A157" s="33"/>
      <c r="B157" s="746"/>
      <c r="C157" s="745"/>
      <c r="D157" s="745"/>
      <c r="E157" s="745"/>
      <c r="F157" s="127"/>
      <c r="G157" s="127"/>
      <c r="H157" s="127"/>
      <c r="I157" s="127"/>
      <c r="J157" s="127"/>
      <c r="K157" s="127"/>
      <c r="L157" s="127"/>
      <c r="M157" s="127"/>
      <c r="N157" s="127"/>
      <c r="O157" s="131" t="str">
        <f t="shared" si="55"/>
        <v/>
      </c>
      <c r="P157" s="131" t="str">
        <f t="shared" si="56"/>
        <v/>
      </c>
      <c r="Q157" s="131" t="str">
        <f t="shared" si="57"/>
        <v/>
      </c>
      <c r="R157" s="131" t="str">
        <f t="shared" si="58"/>
        <v/>
      </c>
      <c r="S157" s="131" t="str">
        <f t="shared" si="59"/>
        <v/>
      </c>
      <c r="T157" s="131" t="str">
        <f t="shared" si="60"/>
        <v/>
      </c>
      <c r="U157" s="131" t="str">
        <f t="shared" si="61"/>
        <v/>
      </c>
      <c r="V157" s="131" t="str">
        <f t="shared" si="62"/>
        <v/>
      </c>
      <c r="W157" s="132" t="str">
        <f t="shared" si="63"/>
        <v/>
      </c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35"/>
      <c r="AJ157" s="35"/>
      <c r="AK157" s="35"/>
      <c r="AL157" s="35"/>
    </row>
    <row r="158" spans="1:38" ht="18.75" x14ac:dyDescent="0.25">
      <c r="A158" s="33"/>
      <c r="B158" s="826" t="s">
        <v>28</v>
      </c>
      <c r="C158" s="827"/>
      <c r="D158" s="827" t="s">
        <v>185</v>
      </c>
      <c r="E158" s="827"/>
      <c r="F158" s="829" t="s">
        <v>1</v>
      </c>
      <c r="G158" s="829"/>
      <c r="H158" s="829"/>
      <c r="I158" s="829"/>
      <c r="J158" s="829"/>
      <c r="K158" s="829"/>
      <c r="L158" s="829"/>
      <c r="M158" s="829"/>
      <c r="N158" s="829"/>
      <c r="O158" s="829" t="s">
        <v>124</v>
      </c>
      <c r="P158" s="829"/>
      <c r="Q158" s="829"/>
      <c r="R158" s="829"/>
      <c r="S158" s="829"/>
      <c r="T158" s="829"/>
      <c r="U158" s="829"/>
      <c r="V158" s="829"/>
      <c r="W158" s="875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35"/>
      <c r="AJ158" s="35"/>
      <c r="AK158" s="35"/>
      <c r="AL158" s="35"/>
    </row>
    <row r="159" spans="1:38" ht="18.75" x14ac:dyDescent="0.25">
      <c r="A159" s="33"/>
      <c r="B159" s="826"/>
      <c r="C159" s="827"/>
      <c r="D159" s="827"/>
      <c r="E159" s="827"/>
      <c r="F159" s="827" t="s">
        <v>175</v>
      </c>
      <c r="G159" s="827" t="s">
        <v>176</v>
      </c>
      <c r="H159" s="827" t="s">
        <v>177</v>
      </c>
      <c r="I159" s="827" t="s">
        <v>178</v>
      </c>
      <c r="J159" s="827" t="s">
        <v>179</v>
      </c>
      <c r="K159" s="827" t="s">
        <v>180</v>
      </c>
      <c r="L159" s="827" t="s">
        <v>181</v>
      </c>
      <c r="M159" s="827" t="s">
        <v>182</v>
      </c>
      <c r="N159" s="827" t="s">
        <v>183</v>
      </c>
      <c r="O159" s="827" t="s">
        <v>175</v>
      </c>
      <c r="P159" s="827" t="s">
        <v>176</v>
      </c>
      <c r="Q159" s="827" t="s">
        <v>177</v>
      </c>
      <c r="R159" s="827" t="s">
        <v>178</v>
      </c>
      <c r="S159" s="827" t="s">
        <v>179</v>
      </c>
      <c r="T159" s="827" t="s">
        <v>180</v>
      </c>
      <c r="U159" s="827" t="s">
        <v>181</v>
      </c>
      <c r="V159" s="827" t="s">
        <v>182</v>
      </c>
      <c r="W159" s="1004" t="s">
        <v>183</v>
      </c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35"/>
      <c r="AJ159" s="35"/>
      <c r="AK159" s="35"/>
      <c r="AL159" s="35"/>
    </row>
    <row r="160" spans="1:38" ht="18.75" x14ac:dyDescent="0.25">
      <c r="A160" s="33"/>
      <c r="B160" s="826"/>
      <c r="C160" s="827"/>
      <c r="D160" s="827"/>
      <c r="E160" s="827"/>
      <c r="F160" s="827"/>
      <c r="G160" s="827"/>
      <c r="H160" s="827"/>
      <c r="I160" s="827"/>
      <c r="J160" s="827"/>
      <c r="K160" s="827"/>
      <c r="L160" s="827"/>
      <c r="M160" s="827"/>
      <c r="N160" s="827"/>
      <c r="O160" s="827"/>
      <c r="P160" s="827"/>
      <c r="Q160" s="827"/>
      <c r="R160" s="827"/>
      <c r="S160" s="827"/>
      <c r="T160" s="827"/>
      <c r="U160" s="827"/>
      <c r="V160" s="827"/>
      <c r="W160" s="1004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35"/>
      <c r="AJ160" s="35"/>
      <c r="AK160" s="35"/>
      <c r="AL160" s="35"/>
    </row>
    <row r="161" spans="1:38" ht="18.75" x14ac:dyDescent="0.25">
      <c r="A161" s="33"/>
      <c r="B161" s="746"/>
      <c r="C161" s="745"/>
      <c r="D161" s="745"/>
      <c r="E161" s="745"/>
      <c r="F161" s="127"/>
      <c r="G161" s="127"/>
      <c r="H161" s="127"/>
      <c r="I161" s="127"/>
      <c r="J161" s="127"/>
      <c r="K161" s="127"/>
      <c r="L161" s="127"/>
      <c r="M161" s="127"/>
      <c r="N161" s="127"/>
      <c r="O161" s="131" t="str">
        <f>IF(F161="","",IF(ABS(F161-$I$13)&gt;$H$14,"NOT OK", "OK"))</f>
        <v/>
      </c>
      <c r="P161" s="131" t="str">
        <f>IF(G161="","",IF(ABS(G161-$J$13)&gt;$H$14,"NOT OK", "OK"))</f>
        <v/>
      </c>
      <c r="Q161" s="131" t="str">
        <f>IF(H161="","",IF(ABS(H161-$K$13)&gt;$H$14,"NOT OK", "OK"))</f>
        <v/>
      </c>
      <c r="R161" s="131" t="str">
        <f>IF(I161="","",IF(ABS(I161-$L$13)&gt;$H$14,"NOT OK", "OK"))</f>
        <v/>
      </c>
      <c r="S161" s="131" t="str">
        <f>IF(J161="","",IF(ABS(J161-$M$13)&gt;$H$14,"NOT OK", "OK"))</f>
        <v/>
      </c>
      <c r="T161" s="131" t="str">
        <f>IF(K161="","",IF(ABS(K161-$N$13)&gt;$H$14,"NOT OK", "OK"))</f>
        <v/>
      </c>
      <c r="U161" s="131" t="str">
        <f>IF(L161="","",IF(ABS(L161-$O$13)&gt;$H$14,"NOT OK", "OK"))</f>
        <v/>
      </c>
      <c r="V161" s="131" t="str">
        <f>IF(M161="","",IF(ABS(M161-$P$13)&gt;$H$14,"NOT OK", "OK"))</f>
        <v/>
      </c>
      <c r="W161" s="132" t="str">
        <f>IF(N161="","",IF(ABS(N161-$Q$13)&gt;$H$14,"NOT OK", "OK"))</f>
        <v/>
      </c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35"/>
      <c r="AJ161" s="35"/>
      <c r="AK161" s="35"/>
      <c r="AL161" s="35"/>
    </row>
    <row r="162" spans="1:38" ht="18.75" x14ac:dyDescent="0.25">
      <c r="A162" s="33"/>
      <c r="B162" s="746"/>
      <c r="C162" s="745"/>
      <c r="D162" s="745"/>
      <c r="E162" s="745"/>
      <c r="F162" s="127"/>
      <c r="G162" s="127"/>
      <c r="H162" s="127"/>
      <c r="I162" s="127"/>
      <c r="J162" s="127"/>
      <c r="K162" s="127"/>
      <c r="L162" s="127"/>
      <c r="M162" s="127"/>
      <c r="N162" s="127"/>
      <c r="O162" s="131" t="str">
        <f t="shared" ref="O162:O164" si="64">IF(F162="","",IF(ABS(F162-$I$13)&gt;$H$14,"NOT OK", "OK"))</f>
        <v/>
      </c>
      <c r="P162" s="131" t="str">
        <f t="shared" ref="P162:P164" si="65">IF(G162="","",IF(ABS(G162-$J$13)&gt;$H$14,"NOT OK", "OK"))</f>
        <v/>
      </c>
      <c r="Q162" s="131" t="str">
        <f t="shared" ref="Q162:Q164" si="66">IF(H162="","",IF(ABS(H162-$K$13)&gt;$H$14,"NOT OK", "OK"))</f>
        <v/>
      </c>
      <c r="R162" s="131" t="str">
        <f t="shared" ref="R162:R164" si="67">IF(I162="","",IF(ABS(I162-$L$13)&gt;$H$14,"NOT OK", "OK"))</f>
        <v/>
      </c>
      <c r="S162" s="131" t="str">
        <f t="shared" ref="S162:S164" si="68">IF(J162="","",IF(ABS(J162-$M$13)&gt;$H$14,"NOT OK", "OK"))</f>
        <v/>
      </c>
      <c r="T162" s="131" t="str">
        <f t="shared" ref="T162:T164" si="69">IF(K162="","",IF(ABS(K162-$N$13)&gt;$H$14,"NOT OK", "OK"))</f>
        <v/>
      </c>
      <c r="U162" s="131" t="str">
        <f t="shared" ref="U162:U164" si="70">IF(L162="","",IF(ABS(L162-$O$13)&gt;$H$14,"NOT OK", "OK"))</f>
        <v/>
      </c>
      <c r="V162" s="131" t="str">
        <f t="shared" ref="V162:V164" si="71">IF(M162="","",IF(ABS(M162-$P$13)&gt;$H$14,"NOT OK", "OK"))</f>
        <v/>
      </c>
      <c r="W162" s="132" t="str">
        <f t="shared" ref="W162:W164" si="72">IF(N162="","",IF(ABS(N162-$Q$13)&gt;$H$14,"NOT OK", "OK"))</f>
        <v/>
      </c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35"/>
      <c r="AJ162" s="35"/>
      <c r="AK162" s="35"/>
      <c r="AL162" s="35"/>
    </row>
    <row r="163" spans="1:38" ht="18.75" x14ac:dyDescent="0.25">
      <c r="A163" s="33"/>
      <c r="B163" s="746"/>
      <c r="C163" s="745"/>
      <c r="D163" s="745"/>
      <c r="E163" s="745"/>
      <c r="F163" s="127"/>
      <c r="G163" s="127"/>
      <c r="H163" s="127"/>
      <c r="I163" s="127"/>
      <c r="J163" s="127"/>
      <c r="K163" s="127"/>
      <c r="L163" s="127"/>
      <c r="M163" s="127"/>
      <c r="N163" s="127"/>
      <c r="O163" s="131" t="str">
        <f t="shared" si="64"/>
        <v/>
      </c>
      <c r="P163" s="131" t="str">
        <f t="shared" si="65"/>
        <v/>
      </c>
      <c r="Q163" s="131" t="str">
        <f t="shared" si="66"/>
        <v/>
      </c>
      <c r="R163" s="131" t="str">
        <f t="shared" si="67"/>
        <v/>
      </c>
      <c r="S163" s="131" t="str">
        <f t="shared" si="68"/>
        <v/>
      </c>
      <c r="T163" s="131" t="str">
        <f t="shared" si="69"/>
        <v/>
      </c>
      <c r="U163" s="131" t="str">
        <f t="shared" si="70"/>
        <v/>
      </c>
      <c r="V163" s="131" t="str">
        <f>IF(M163="","",IF(ABS(M163-$P$13)&gt;$H$14,"NOT OK", "OK"))</f>
        <v/>
      </c>
      <c r="W163" s="132" t="str">
        <f t="shared" si="72"/>
        <v/>
      </c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35"/>
      <c r="AJ163" s="35"/>
      <c r="AK163" s="35"/>
      <c r="AL163" s="35"/>
    </row>
    <row r="164" spans="1:38" ht="19.5" thickBot="1" x14ac:dyDescent="0.3">
      <c r="A164" s="33"/>
      <c r="B164" s="805"/>
      <c r="C164" s="806"/>
      <c r="D164" s="806"/>
      <c r="E164" s="806"/>
      <c r="F164" s="128"/>
      <c r="G164" s="128"/>
      <c r="H164" s="128"/>
      <c r="I164" s="128"/>
      <c r="J164" s="128"/>
      <c r="K164" s="128"/>
      <c r="L164" s="128"/>
      <c r="M164" s="128"/>
      <c r="N164" s="128"/>
      <c r="O164" s="133" t="str">
        <f t="shared" si="64"/>
        <v/>
      </c>
      <c r="P164" s="133" t="str">
        <f t="shared" si="65"/>
        <v/>
      </c>
      <c r="Q164" s="133" t="str">
        <f t="shared" si="66"/>
        <v/>
      </c>
      <c r="R164" s="133" t="str">
        <f t="shared" si="67"/>
        <v/>
      </c>
      <c r="S164" s="133" t="str">
        <f t="shared" si="68"/>
        <v/>
      </c>
      <c r="T164" s="133" t="str">
        <f t="shared" si="69"/>
        <v/>
      </c>
      <c r="U164" s="133" t="str">
        <f t="shared" si="70"/>
        <v/>
      </c>
      <c r="V164" s="133" t="str">
        <f t="shared" si="71"/>
        <v/>
      </c>
      <c r="W164" s="134" t="str">
        <f t="shared" si="72"/>
        <v/>
      </c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35"/>
      <c r="AJ164" s="35"/>
      <c r="AK164" s="35"/>
      <c r="AL164" s="35"/>
    </row>
    <row r="165" spans="1:38" ht="18.75" x14ac:dyDescent="0.25">
      <c r="A165" s="33"/>
      <c r="B165" s="4"/>
      <c r="C165" s="4"/>
      <c r="D165" s="4"/>
      <c r="E165" s="4"/>
      <c r="F165" s="17"/>
      <c r="G165" s="17"/>
      <c r="H165" s="17"/>
      <c r="I165" s="17"/>
      <c r="J165" s="17"/>
      <c r="K165" s="17"/>
      <c r="L165" s="17"/>
      <c r="M165" s="17"/>
      <c r="N165" s="17"/>
      <c r="O165" s="142"/>
      <c r="P165" s="142"/>
      <c r="Q165" s="142"/>
      <c r="R165" s="142"/>
      <c r="S165" s="142"/>
      <c r="T165" s="142"/>
      <c r="U165" s="142"/>
      <c r="V165" s="142"/>
      <c r="W165" s="142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35"/>
      <c r="AJ165" s="35"/>
      <c r="AK165" s="35"/>
      <c r="AL165" s="35"/>
    </row>
    <row r="166" spans="1:38" ht="30.75" customHeight="1" thickBot="1" x14ac:dyDescent="0.3">
      <c r="A166" s="33"/>
      <c r="B166" s="4"/>
      <c r="C166" s="4"/>
      <c r="D166" s="4"/>
      <c r="E166" s="4"/>
      <c r="F166" s="17"/>
      <c r="G166" s="17"/>
      <c r="H166" s="17"/>
      <c r="I166" s="17"/>
      <c r="J166" s="17"/>
      <c r="K166" s="17"/>
      <c r="L166" s="17"/>
      <c r="M166" s="17"/>
      <c r="N166" s="17"/>
      <c r="O166" s="142"/>
      <c r="P166" s="142"/>
      <c r="Q166" s="142"/>
      <c r="R166" s="142"/>
      <c r="S166" s="142"/>
      <c r="T166" s="142"/>
      <c r="U166" s="142"/>
      <c r="V166" s="142"/>
      <c r="W166" s="142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35"/>
      <c r="AJ166" s="35"/>
      <c r="AK166" s="35"/>
      <c r="AL166" s="35"/>
    </row>
    <row r="167" spans="1:38" ht="23.25" customHeight="1" x14ac:dyDescent="0.25">
      <c r="A167" s="33"/>
      <c r="B167" s="4"/>
      <c r="C167" s="4"/>
      <c r="D167" s="4"/>
      <c r="E167" s="4"/>
      <c r="F167" s="863" t="s">
        <v>184</v>
      </c>
      <c r="G167" s="828"/>
      <c r="H167" s="828"/>
      <c r="I167" s="828"/>
      <c r="J167" s="828"/>
      <c r="K167" s="828"/>
      <c r="L167" s="828"/>
      <c r="M167" s="828"/>
      <c r="N167" s="874"/>
      <c r="O167" s="142"/>
      <c r="P167" s="142"/>
      <c r="Q167" s="142"/>
      <c r="R167" s="142"/>
      <c r="S167" s="142"/>
      <c r="T167" s="142"/>
      <c r="U167" s="142"/>
      <c r="V167" s="142"/>
      <c r="W167" s="142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35"/>
      <c r="AJ167" s="35"/>
      <c r="AK167" s="35"/>
      <c r="AL167" s="35"/>
    </row>
    <row r="168" spans="1:38" ht="23.25" customHeight="1" x14ac:dyDescent="0.25">
      <c r="A168" s="33"/>
      <c r="B168" s="4"/>
      <c r="C168" s="4"/>
      <c r="D168" s="4"/>
      <c r="E168" s="4"/>
      <c r="F168" s="826" t="s">
        <v>175</v>
      </c>
      <c r="G168" s="827" t="s">
        <v>176</v>
      </c>
      <c r="H168" s="827" t="s">
        <v>177</v>
      </c>
      <c r="I168" s="827" t="s">
        <v>178</v>
      </c>
      <c r="J168" s="827" t="s">
        <v>179</v>
      </c>
      <c r="K168" s="827" t="s">
        <v>180</v>
      </c>
      <c r="L168" s="827" t="s">
        <v>181</v>
      </c>
      <c r="M168" s="827" t="s">
        <v>182</v>
      </c>
      <c r="N168" s="1004" t="s">
        <v>183</v>
      </c>
      <c r="O168" s="142"/>
      <c r="P168" s="142"/>
      <c r="Q168" s="142"/>
      <c r="R168" s="142"/>
      <c r="S168" s="142"/>
      <c r="T168" s="142"/>
      <c r="U168" s="142"/>
      <c r="V168" s="142"/>
      <c r="W168" s="142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35"/>
      <c r="AJ168" s="35"/>
      <c r="AK168" s="35"/>
      <c r="AL168" s="35"/>
    </row>
    <row r="169" spans="1:38" ht="23.25" customHeight="1" x14ac:dyDescent="0.25">
      <c r="A169" s="33"/>
      <c r="B169" s="4"/>
      <c r="C169" s="4"/>
      <c r="D169" s="4"/>
      <c r="E169" s="4"/>
      <c r="F169" s="826"/>
      <c r="G169" s="827"/>
      <c r="H169" s="827"/>
      <c r="I169" s="827"/>
      <c r="J169" s="827"/>
      <c r="K169" s="827"/>
      <c r="L169" s="827"/>
      <c r="M169" s="827"/>
      <c r="N169" s="1004"/>
      <c r="O169" s="142"/>
      <c r="P169" s="142"/>
      <c r="Q169" s="142"/>
      <c r="R169" s="142"/>
      <c r="S169" s="142"/>
      <c r="T169" s="142"/>
      <c r="U169" s="142"/>
      <c r="V169" s="142"/>
      <c r="W169" s="142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35"/>
      <c r="AJ169" s="35"/>
      <c r="AK169" s="35"/>
      <c r="AL169" s="35"/>
    </row>
    <row r="170" spans="1:38" ht="23.25" customHeight="1" x14ac:dyDescent="0.25">
      <c r="A170" s="33"/>
      <c r="B170" s="4"/>
      <c r="C170" s="4"/>
      <c r="D170" s="4"/>
      <c r="E170" s="4"/>
      <c r="F170" s="135" t="str">
        <f>IF(F154="","",ABS(F154-F161))</f>
        <v/>
      </c>
      <c r="G170" s="136" t="str">
        <f t="shared" ref="G170:N170" si="73">IF(G154="","",ABS(G154-G161))</f>
        <v/>
      </c>
      <c r="H170" s="136" t="str">
        <f t="shared" si="73"/>
        <v/>
      </c>
      <c r="I170" s="136" t="str">
        <f t="shared" si="73"/>
        <v/>
      </c>
      <c r="J170" s="136" t="str">
        <f t="shared" si="73"/>
        <v/>
      </c>
      <c r="K170" s="136" t="str">
        <f t="shared" si="73"/>
        <v/>
      </c>
      <c r="L170" s="136" t="str">
        <f t="shared" si="73"/>
        <v/>
      </c>
      <c r="M170" s="136" t="str">
        <f t="shared" si="73"/>
        <v/>
      </c>
      <c r="N170" s="137" t="str">
        <f t="shared" si="73"/>
        <v/>
      </c>
      <c r="O170" s="142"/>
      <c r="P170" s="142"/>
      <c r="Q170" s="142"/>
      <c r="R170" s="142"/>
      <c r="S170" s="142"/>
      <c r="T170" s="142"/>
      <c r="U170" s="142"/>
      <c r="V170" s="142"/>
      <c r="W170" s="142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35"/>
      <c r="AJ170" s="35"/>
      <c r="AK170" s="35"/>
      <c r="AL170" s="35"/>
    </row>
    <row r="171" spans="1:38" ht="23.25" customHeight="1" x14ac:dyDescent="0.25">
      <c r="A171" s="33"/>
      <c r="B171" s="4"/>
      <c r="C171" s="4"/>
      <c r="D171" s="4"/>
      <c r="E171" s="4"/>
      <c r="F171" s="135" t="str">
        <f t="shared" ref="F171:N173" si="74">IF(F155="","",ABS(F155-F162))</f>
        <v/>
      </c>
      <c r="G171" s="136" t="str">
        <f t="shared" si="74"/>
        <v/>
      </c>
      <c r="H171" s="136" t="str">
        <f t="shared" si="74"/>
        <v/>
      </c>
      <c r="I171" s="136" t="str">
        <f t="shared" si="74"/>
        <v/>
      </c>
      <c r="J171" s="136" t="str">
        <f t="shared" si="74"/>
        <v/>
      </c>
      <c r="K171" s="136" t="str">
        <f t="shared" si="74"/>
        <v/>
      </c>
      <c r="L171" s="136" t="str">
        <f t="shared" si="74"/>
        <v/>
      </c>
      <c r="M171" s="136" t="str">
        <f t="shared" si="74"/>
        <v/>
      </c>
      <c r="N171" s="137" t="str">
        <f t="shared" si="74"/>
        <v/>
      </c>
      <c r="O171" s="142"/>
      <c r="P171" s="142"/>
      <c r="Q171" s="142"/>
      <c r="R171" s="142"/>
      <c r="S171" s="142"/>
      <c r="T171" s="142"/>
      <c r="U171" s="142"/>
      <c r="V171" s="142"/>
      <c r="W171" s="142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35"/>
      <c r="AJ171" s="35"/>
      <c r="AK171" s="35"/>
      <c r="AL171" s="35"/>
    </row>
    <row r="172" spans="1:38" ht="23.25" customHeight="1" x14ac:dyDescent="0.25">
      <c r="A172" s="33"/>
      <c r="B172" s="4"/>
      <c r="C172" s="4"/>
      <c r="D172" s="4"/>
      <c r="E172" s="4"/>
      <c r="F172" s="135" t="str">
        <f t="shared" si="74"/>
        <v/>
      </c>
      <c r="G172" s="136" t="str">
        <f t="shared" si="74"/>
        <v/>
      </c>
      <c r="H172" s="136" t="str">
        <f t="shared" si="74"/>
        <v/>
      </c>
      <c r="I172" s="136" t="str">
        <f t="shared" si="74"/>
        <v/>
      </c>
      <c r="J172" s="136" t="str">
        <f t="shared" si="74"/>
        <v/>
      </c>
      <c r="K172" s="136" t="str">
        <f t="shared" si="74"/>
        <v/>
      </c>
      <c r="L172" s="136" t="str">
        <f t="shared" si="74"/>
        <v/>
      </c>
      <c r="M172" s="136" t="str">
        <f t="shared" si="74"/>
        <v/>
      </c>
      <c r="N172" s="137" t="str">
        <f t="shared" si="74"/>
        <v/>
      </c>
      <c r="O172" s="142"/>
      <c r="P172" s="142"/>
      <c r="Q172" s="142"/>
      <c r="R172" s="142"/>
      <c r="S172" s="142"/>
      <c r="T172" s="142"/>
      <c r="U172" s="142"/>
      <c r="V172" s="142"/>
      <c r="W172" s="142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35"/>
      <c r="AJ172" s="35"/>
      <c r="AK172" s="35"/>
      <c r="AL172" s="35"/>
    </row>
    <row r="173" spans="1:38" ht="23.25" customHeight="1" thickBot="1" x14ac:dyDescent="0.3">
      <c r="A173" s="33"/>
      <c r="B173" s="4"/>
      <c r="C173" s="4"/>
      <c r="D173" s="4"/>
      <c r="E173" s="4"/>
      <c r="F173" s="138" t="str">
        <f t="shared" si="74"/>
        <v/>
      </c>
      <c r="G173" s="139" t="str">
        <f t="shared" si="74"/>
        <v/>
      </c>
      <c r="H173" s="139" t="str">
        <f t="shared" si="74"/>
        <v/>
      </c>
      <c r="I173" s="139" t="str">
        <f t="shared" si="74"/>
        <v/>
      </c>
      <c r="J173" s="139" t="str">
        <f t="shared" si="74"/>
        <v/>
      </c>
      <c r="K173" s="139" t="str">
        <f t="shared" si="74"/>
        <v/>
      </c>
      <c r="L173" s="139" t="str">
        <f t="shared" si="74"/>
        <v/>
      </c>
      <c r="M173" s="139" t="str">
        <f t="shared" si="74"/>
        <v/>
      </c>
      <c r="N173" s="140" t="str">
        <f>IF(N157="","",ABS(N157-N164))</f>
        <v/>
      </c>
      <c r="O173" s="142"/>
      <c r="P173" s="142"/>
      <c r="Q173" s="142"/>
      <c r="R173" s="142"/>
      <c r="S173" s="142"/>
      <c r="T173" s="142"/>
      <c r="U173" s="142"/>
      <c r="V173" s="142"/>
      <c r="W173" s="142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35"/>
      <c r="AJ173" s="35"/>
      <c r="AK173" s="35"/>
      <c r="AL173" s="35"/>
    </row>
    <row r="174" spans="1:38" ht="23.25" customHeight="1" thickBot="1" x14ac:dyDescent="0.3">
      <c r="A174" s="3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142"/>
      <c r="P174" s="142"/>
      <c r="Q174" s="142"/>
      <c r="R174" s="142"/>
      <c r="S174" s="142"/>
      <c r="T174" s="142"/>
      <c r="U174" s="142"/>
      <c r="V174" s="142"/>
      <c r="W174" s="142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35"/>
      <c r="AJ174" s="35"/>
      <c r="AK174" s="35"/>
      <c r="AL174" s="35"/>
    </row>
    <row r="175" spans="1:38" ht="23.25" customHeight="1" x14ac:dyDescent="0.25">
      <c r="A175" s="33"/>
      <c r="B175" s="4"/>
      <c r="C175" s="4"/>
      <c r="D175" s="4"/>
      <c r="E175" s="4"/>
      <c r="F175" s="824" t="s">
        <v>175</v>
      </c>
      <c r="G175" s="825" t="s">
        <v>176</v>
      </c>
      <c r="H175" s="825" t="s">
        <v>177</v>
      </c>
      <c r="I175" s="825" t="s">
        <v>178</v>
      </c>
      <c r="J175" s="825" t="s">
        <v>179</v>
      </c>
      <c r="K175" s="825" t="s">
        <v>180</v>
      </c>
      <c r="L175" s="825" t="s">
        <v>181</v>
      </c>
      <c r="M175" s="825" t="s">
        <v>182</v>
      </c>
      <c r="N175" s="1019" t="s">
        <v>183</v>
      </c>
      <c r="O175" s="142"/>
      <c r="P175" s="142"/>
      <c r="Q175" s="142"/>
      <c r="R175" s="142"/>
      <c r="S175" s="142"/>
      <c r="T175" s="142"/>
      <c r="U175" s="142"/>
      <c r="V175" s="142"/>
      <c r="W175" s="142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35"/>
      <c r="AJ175" s="35"/>
      <c r="AK175" s="35"/>
      <c r="AL175" s="35"/>
    </row>
    <row r="176" spans="1:38" ht="23.25" customHeight="1" thickBot="1" x14ac:dyDescent="0.3">
      <c r="A176" s="33"/>
      <c r="B176" s="4"/>
      <c r="C176" s="4"/>
      <c r="D176" s="4"/>
      <c r="E176" s="4"/>
      <c r="F176" s="1022"/>
      <c r="G176" s="1021"/>
      <c r="H176" s="1021"/>
      <c r="I176" s="1021"/>
      <c r="J176" s="1021"/>
      <c r="K176" s="1021"/>
      <c r="L176" s="1021"/>
      <c r="M176" s="1021"/>
      <c r="N176" s="1020"/>
      <c r="O176" s="142"/>
      <c r="P176" s="142"/>
      <c r="Q176" s="142"/>
      <c r="R176" s="142"/>
      <c r="S176" s="142"/>
      <c r="T176" s="142"/>
      <c r="U176" s="142"/>
      <c r="V176" s="142"/>
      <c r="W176" s="142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35"/>
      <c r="AJ176" s="35"/>
      <c r="AK176" s="35"/>
      <c r="AL176" s="35"/>
    </row>
    <row r="177" spans="1:38" ht="23.25" customHeight="1" x14ac:dyDescent="0.25">
      <c r="A177" s="33"/>
      <c r="B177" s="762" t="s">
        <v>125</v>
      </c>
      <c r="C177" s="763"/>
      <c r="D177" s="763"/>
      <c r="E177" s="763"/>
      <c r="F177" s="143" t="str">
        <f>IF(F154="","",_xlfn.MODE.SNGL(F154:F157,F161:F164))</f>
        <v/>
      </c>
      <c r="G177" s="143" t="str">
        <f t="shared" ref="G177:N177" si="75">IF(G154="","",_xlfn.MODE.SNGL(G154:G157,G161:G164))</f>
        <v/>
      </c>
      <c r="H177" s="143" t="str">
        <f t="shared" si="75"/>
        <v/>
      </c>
      <c r="I177" s="143" t="str">
        <f t="shared" si="75"/>
        <v/>
      </c>
      <c r="J177" s="143" t="str">
        <f t="shared" si="75"/>
        <v/>
      </c>
      <c r="K177" s="143" t="str">
        <f t="shared" si="75"/>
        <v/>
      </c>
      <c r="L177" s="143" t="str">
        <f t="shared" si="75"/>
        <v/>
      </c>
      <c r="M177" s="143" t="str">
        <f t="shared" si="75"/>
        <v/>
      </c>
      <c r="N177" s="144" t="str">
        <f t="shared" si="75"/>
        <v/>
      </c>
      <c r="O177" s="142"/>
      <c r="P177" s="142"/>
      <c r="Q177" s="142"/>
      <c r="R177" s="142"/>
      <c r="S177" s="142"/>
      <c r="T177" s="142"/>
      <c r="U177" s="142"/>
      <c r="V177" s="142"/>
      <c r="W177" s="142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35"/>
      <c r="AJ177" s="35"/>
      <c r="AK177" s="35"/>
      <c r="AL177" s="35"/>
    </row>
    <row r="178" spans="1:38" ht="23.25" customHeight="1" x14ac:dyDescent="0.25">
      <c r="A178" s="33"/>
      <c r="B178" s="1002" t="s">
        <v>126</v>
      </c>
      <c r="C178" s="1003"/>
      <c r="D178" s="1003"/>
      <c r="E178" s="1003"/>
      <c r="F178" s="145" t="str">
        <f>IF(F154="","",MEDIAN(F154:F157,F161:F164))</f>
        <v/>
      </c>
      <c r="G178" s="145" t="str">
        <f t="shared" ref="G178:N178" si="76">IF(G154="","",MEDIAN(G154:G157,G161:G164))</f>
        <v/>
      </c>
      <c r="H178" s="145" t="str">
        <f t="shared" si="76"/>
        <v/>
      </c>
      <c r="I178" s="145" t="str">
        <f t="shared" si="76"/>
        <v/>
      </c>
      <c r="J178" s="145" t="str">
        <f t="shared" si="76"/>
        <v/>
      </c>
      <c r="K178" s="145" t="str">
        <f t="shared" si="76"/>
        <v/>
      </c>
      <c r="L178" s="145" t="str">
        <f t="shared" si="76"/>
        <v/>
      </c>
      <c r="M178" s="145" t="str">
        <f t="shared" si="76"/>
        <v/>
      </c>
      <c r="N178" s="146" t="str">
        <f t="shared" si="76"/>
        <v/>
      </c>
      <c r="O178" s="142"/>
      <c r="P178" s="142"/>
      <c r="Q178" s="142"/>
      <c r="R178" s="142"/>
      <c r="S178" s="142"/>
      <c r="T178" s="142"/>
      <c r="U178" s="142"/>
      <c r="V178" s="142"/>
      <c r="W178" s="142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35"/>
      <c r="AJ178" s="35"/>
      <c r="AK178" s="35"/>
      <c r="AL178" s="35"/>
    </row>
    <row r="179" spans="1:38" ht="45.75" customHeight="1" x14ac:dyDescent="0.25">
      <c r="A179" s="33"/>
      <c r="B179" s="939" t="s">
        <v>187</v>
      </c>
      <c r="C179" s="940"/>
      <c r="D179" s="940"/>
      <c r="E179" s="940"/>
      <c r="F179" s="987" t="str">
        <f>IF(F154="","",IF(AND(OR(O154=$AA$4,O154=""),OR(O155=$AA$4,O155=""),OR(O156=$AA$4,O156=""),OR(O157=$AA$4,O157=""),OR(O161=$AA$4,O161=""),OR(O162=$AA$4,O162=""),OR(O163=$AA$4,O163=""),OR(O164=$AA$4,O164=""),OR(F170&lt;=$H$14,F170=""),OR(F171&lt;=$H$14,F171=""),OR(F172&lt;=$H$14,F172=""),OR(F173&lt;=$H$14,F173="")),"Les échantillons sont stables", "Les échantillons ne sont pas stables;remplacer par d'autre résultats"))</f>
        <v/>
      </c>
      <c r="G179" s="987" t="str">
        <f>IF(G154="","",IF(AND(OR(P154=$AA$4,P154=""),OR(P155=$AA$4,P155=""),OR(P156=$AA$4,P156=""),OR(P157=$AA$4,P157=""),OR(P161=$AA$4,P161=""),OR(P162=$AA$4,P162=""),OR(P163=$AA$4,P163=""),OR(P164=$AA$4,P164=""),OR(G170&lt;=$H$14,G170=""),OR(G171&lt;=$H$14,G171=""),OR(G172&lt;=$H$14,G172=""),OR(G173&lt;=$H$14,G173="")),"Les échantillons sont stables", "Les échantillons ne sont pas stables;remplacer par d'autre résultats"))</f>
        <v/>
      </c>
      <c r="H179" s="987" t="str">
        <f t="shared" ref="H179" si="77">IF(H154="","",IF(AND(OR(Q154=$AA$4,Q154=""),OR(Q155=$AA$4,Q155=""),OR(Q156=$AA$4,Q156=""),OR(Q157=$AA$4,Q157=""),OR(Q161=$AA$4,Q161=""),OR(Q162=$AA$4,Q162=""),OR(Q163=$AA$4,Q163=""),OR(Q164=$AA$4,Q164=""),OR(H170&lt;=$H$14,H170=""),OR(H171&lt;=$H$14,H171=""),OR(H172&lt;=$H$14,H172=""),OR(H173&lt;=$H$14,H173="")),"Les échantillons sont stables", "Les échantillons ne sont pas stables;remplacer par d'autre résultats"))</f>
        <v/>
      </c>
      <c r="I179" s="987" t="str">
        <f t="shared" ref="I179" si="78">IF(I154="","",IF(AND(OR(R154=$AA$4,R154=""),OR(R155=$AA$4,R155=""),OR(R156=$AA$4,R156=""),OR(R157=$AA$4,R157=""),OR(R161=$AA$4,R161=""),OR(R162=$AA$4,R162=""),OR(R163=$AA$4,R163=""),OR(R164=$AA$4,R164=""),OR(I170&lt;=$H$14,I170=""),OR(I171&lt;=$H$14,I171=""),OR(I172&lt;=$H$14,I172=""),OR(I173&lt;=$H$14,I173="")),"Les échantillons sont stables", "Les échantillons ne sont pas stables;remplacer par d'autre résultats"))</f>
        <v/>
      </c>
      <c r="J179" s="987" t="str">
        <f t="shared" ref="J179" si="79">IF(J154="","",IF(AND(OR(S154=$AA$4,S154=""),OR(S155=$AA$4,S155=""),OR(S156=$AA$4,S156=""),OR(S157=$AA$4,S157=""),OR(S161=$AA$4,S161=""),OR(S162=$AA$4,S162=""),OR(S163=$AA$4,S163=""),OR(S164=$AA$4,S164=""),OR(J170&lt;=$H$14,J170=""),OR(J171&lt;=$H$14,J171=""),OR(J172&lt;=$H$14,J172=""),OR(J173&lt;=$H$14,J173="")),"Les échantillons sont stables", "Les échantillons ne sont pas stables;remplacer par d'autre résultats"))</f>
        <v/>
      </c>
      <c r="K179" s="987" t="str">
        <f t="shared" ref="K179" si="80">IF(K154="","",IF(AND(OR(T154=$AA$4,T154=""),OR(T155=$AA$4,T155=""),OR(T156=$AA$4,T156=""),OR(T157=$AA$4,T157=""),OR(T161=$AA$4,T161=""),OR(T162=$AA$4,T162=""),OR(T163=$AA$4,T163=""),OR(T164=$AA$4,T164=""),OR(K170&lt;=$H$14,K170=""),OR(K171&lt;=$H$14,K171=""),OR(K172&lt;=$H$14,K172=""),OR(K173&lt;=$H$14,K173="")),"Les échantillons sont stables", "Les échantillons ne sont pas stables;remplacer par d'autre résultats"))</f>
        <v/>
      </c>
      <c r="L179" s="987" t="str">
        <f t="shared" ref="L179" si="81">IF(L154="","",IF(AND(OR(U154=$AA$4,U154=""),OR(U155=$AA$4,U155=""),OR(U156=$AA$4,U156=""),OR(U157=$AA$4,U157=""),OR(U161=$AA$4,U161=""),OR(U162=$AA$4,U162=""),OR(U163=$AA$4,U163=""),OR(U164=$AA$4,U164=""),OR(L170&lt;=$H$14,L170=""),OR(L171&lt;=$H$14,L171=""),OR(L172&lt;=$H$14,L172=""),OR(L173&lt;=$H$14,L173="")),"Les échantillons sont stables", "Les échantillons ne sont pas stables;remplacer par d'autre résultats"))</f>
        <v/>
      </c>
      <c r="M179" s="987" t="str">
        <f t="shared" ref="M179" si="82">IF(M154="","",IF(AND(OR(V154=$AA$4,V154=""),OR(V155=$AA$4,V155=""),OR(V156=$AA$4,V156=""),OR(V157=$AA$4,V157=""),OR(V161=$AA$4,V161=""),OR(V162=$AA$4,V162=""),OR(V163=$AA$4,V163=""),OR(V164=$AA$4,V164=""),OR(M170&lt;=$H$14,M170=""),OR(M171&lt;=$H$14,M171=""),OR(M172&lt;=$H$14,M172=""),OR(M173&lt;=$H$14,M173="")),"Les échantillons sont stables", "Les échantillons ne sont pas stables;remplacer par d'autre résultats"))</f>
        <v/>
      </c>
      <c r="N179" s="989" t="str">
        <f>IF(N154="","",IF(AND(OR(W154=$AA$4,W154=""),OR(W155=$AA$4,W155=""),OR(W156=$AA$4,W156=""),OR(W157=$AA$4,W157=""),OR(W161=$AA$4,W161=""),OR(W162=$AA$4,W162=""),OR(W163=$AA$4,W163=""),OR(W164=$AA$4,W164=""),OR(N170&lt;=$H$14,N170=""),OR(N171&lt;=$H$14,N171=""),OR(N172&lt;=$H$14,N172=""),OR(N173&lt;=$H$14,N173="")),"Les échantillons sont stables", "Les échantillons ne sont pas stables;remplacer par d'autre résultats"))</f>
        <v/>
      </c>
      <c r="O179" s="142"/>
      <c r="P179" s="142"/>
      <c r="Q179" s="142"/>
      <c r="R179" s="142"/>
      <c r="S179" s="142"/>
      <c r="T179" s="142"/>
      <c r="U179" s="142"/>
      <c r="V179" s="142"/>
      <c r="W179" s="142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35"/>
      <c r="AJ179" s="35"/>
      <c r="AK179" s="35"/>
      <c r="AL179" s="35"/>
    </row>
    <row r="180" spans="1:38" ht="45.75" customHeight="1" x14ac:dyDescent="0.25">
      <c r="A180" s="33"/>
      <c r="B180" s="939"/>
      <c r="C180" s="940"/>
      <c r="D180" s="940"/>
      <c r="E180" s="940"/>
      <c r="F180" s="987"/>
      <c r="G180" s="987"/>
      <c r="H180" s="987"/>
      <c r="I180" s="987"/>
      <c r="J180" s="987"/>
      <c r="K180" s="987"/>
      <c r="L180" s="987"/>
      <c r="M180" s="987"/>
      <c r="N180" s="989"/>
      <c r="O180" s="142"/>
      <c r="P180" s="142"/>
      <c r="Q180" s="142"/>
      <c r="R180" s="142"/>
      <c r="S180" s="142"/>
      <c r="T180" s="142"/>
      <c r="U180" s="142"/>
      <c r="V180" s="142"/>
      <c r="W180" s="142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35"/>
      <c r="AJ180" s="35"/>
      <c r="AK180" s="35"/>
      <c r="AL180" s="35"/>
    </row>
    <row r="181" spans="1:38" ht="48" customHeight="1" x14ac:dyDescent="0.25">
      <c r="A181" s="33"/>
      <c r="B181" s="939"/>
      <c r="C181" s="940"/>
      <c r="D181" s="940"/>
      <c r="E181" s="940"/>
      <c r="F181" s="987"/>
      <c r="G181" s="987"/>
      <c r="H181" s="987"/>
      <c r="I181" s="987"/>
      <c r="J181" s="987"/>
      <c r="K181" s="987"/>
      <c r="L181" s="987"/>
      <c r="M181" s="987"/>
      <c r="N181" s="989"/>
      <c r="O181" s="142"/>
      <c r="P181" s="142"/>
      <c r="Q181" s="142"/>
      <c r="R181" s="142"/>
      <c r="S181" s="142"/>
      <c r="T181" s="142"/>
      <c r="U181" s="142"/>
      <c r="V181" s="142"/>
      <c r="W181" s="142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35"/>
      <c r="AJ181" s="35"/>
      <c r="AK181" s="35"/>
      <c r="AL181" s="35"/>
    </row>
    <row r="182" spans="1:38" ht="48" customHeight="1" thickBot="1" x14ac:dyDescent="0.3">
      <c r="A182" s="33"/>
      <c r="B182" s="1011" t="s">
        <v>228</v>
      </c>
      <c r="C182" s="1012"/>
      <c r="D182" s="1012"/>
      <c r="E182" s="1012"/>
      <c r="F182" s="129"/>
      <c r="G182" s="129"/>
      <c r="H182" s="129"/>
      <c r="I182" s="129"/>
      <c r="J182" s="129"/>
      <c r="K182" s="129"/>
      <c r="L182" s="129"/>
      <c r="M182" s="129"/>
      <c r="N182" s="130"/>
      <c r="O182" s="142"/>
      <c r="P182" s="142"/>
      <c r="Q182" s="142"/>
      <c r="R182" s="142"/>
      <c r="S182" s="142"/>
      <c r="T182" s="142"/>
      <c r="U182" s="142"/>
      <c r="V182" s="142"/>
      <c r="W182" s="142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35"/>
      <c r="AJ182" s="35"/>
      <c r="AK182" s="35"/>
      <c r="AL182" s="35"/>
    </row>
    <row r="183" spans="1:38" ht="23.25" customHeight="1" x14ac:dyDescent="0.25">
      <c r="A183" s="33"/>
      <c r="B183" s="84"/>
      <c r="C183" s="84"/>
      <c r="D183" s="84"/>
      <c r="E183" s="84"/>
      <c r="F183" s="151"/>
      <c r="G183" s="151"/>
      <c r="H183" s="151"/>
      <c r="I183" s="151"/>
      <c r="J183" s="151"/>
      <c r="K183" s="151"/>
      <c r="L183" s="151"/>
      <c r="M183" s="151"/>
      <c r="N183" s="151"/>
      <c r="O183" s="142"/>
      <c r="P183" s="142"/>
      <c r="Q183" s="142"/>
      <c r="R183" s="142"/>
      <c r="S183" s="142"/>
      <c r="T183" s="142"/>
      <c r="U183" s="142"/>
      <c r="V183" s="142"/>
      <c r="W183" s="142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35"/>
      <c r="AJ183" s="35"/>
      <c r="AK183" s="35"/>
      <c r="AL183" s="35"/>
    </row>
    <row r="184" spans="1:38" ht="23.25" customHeight="1" thickBot="1" x14ac:dyDescent="0.3">
      <c r="A184" s="33"/>
      <c r="B184" s="84"/>
      <c r="C184" s="84"/>
      <c r="D184" s="84"/>
      <c r="E184" s="84"/>
      <c r="F184" s="151"/>
      <c r="G184" s="151"/>
      <c r="H184" s="151"/>
      <c r="I184" s="151"/>
      <c r="J184" s="151"/>
      <c r="K184" s="151"/>
      <c r="L184" s="151"/>
      <c r="M184" s="151"/>
      <c r="N184" s="151"/>
      <c r="O184" s="142"/>
      <c r="P184" s="142"/>
      <c r="Q184" s="142"/>
      <c r="R184" s="142"/>
      <c r="S184" s="142"/>
      <c r="T184" s="142"/>
      <c r="U184" s="142"/>
      <c r="V184" s="142"/>
      <c r="W184" s="142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35"/>
      <c r="AJ184" s="35"/>
      <c r="AK184" s="35"/>
      <c r="AL184" s="35"/>
    </row>
    <row r="185" spans="1:38" ht="23.25" customHeight="1" thickBot="1" x14ac:dyDescent="0.3">
      <c r="A185" s="33"/>
      <c r="B185" s="1005" t="s">
        <v>188</v>
      </c>
      <c r="C185" s="1006"/>
      <c r="D185" s="1006"/>
      <c r="E185" s="1006"/>
      <c r="F185" s="1006"/>
      <c r="G185" s="1006"/>
      <c r="H185" s="1006"/>
      <c r="I185" s="1006"/>
      <c r="J185" s="1007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35"/>
      <c r="AJ185" s="35"/>
      <c r="AK185" s="35"/>
      <c r="AL185" s="35"/>
    </row>
    <row r="186" spans="1:38" ht="23.25" customHeight="1" x14ac:dyDescent="0.25">
      <c r="A186" s="33"/>
      <c r="B186" s="824" t="s">
        <v>28</v>
      </c>
      <c r="C186" s="825"/>
      <c r="D186" s="825" t="s">
        <v>122</v>
      </c>
      <c r="E186" s="825"/>
      <c r="F186" s="828" t="s">
        <v>0</v>
      </c>
      <c r="G186" s="828"/>
      <c r="H186" s="828"/>
      <c r="I186" s="828"/>
      <c r="J186" s="828"/>
      <c r="K186" s="828"/>
      <c r="L186" s="828"/>
      <c r="M186" s="828"/>
      <c r="N186" s="828"/>
      <c r="O186" s="828" t="s">
        <v>123</v>
      </c>
      <c r="P186" s="828"/>
      <c r="Q186" s="828"/>
      <c r="R186" s="828"/>
      <c r="S186" s="828"/>
      <c r="T186" s="828"/>
      <c r="U186" s="828"/>
      <c r="V186" s="828"/>
      <c r="W186" s="874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35"/>
      <c r="AJ186" s="35"/>
      <c r="AK186" s="35"/>
      <c r="AL186" s="35"/>
    </row>
    <row r="187" spans="1:38" ht="23.25" customHeight="1" x14ac:dyDescent="0.25">
      <c r="A187" s="33"/>
      <c r="B187" s="826"/>
      <c r="C187" s="827"/>
      <c r="D187" s="827"/>
      <c r="E187" s="827"/>
      <c r="F187" s="827" t="s">
        <v>175</v>
      </c>
      <c r="G187" s="827" t="s">
        <v>176</v>
      </c>
      <c r="H187" s="827" t="s">
        <v>177</v>
      </c>
      <c r="I187" s="827" t="s">
        <v>178</v>
      </c>
      <c r="J187" s="827" t="s">
        <v>179</v>
      </c>
      <c r="K187" s="827" t="s">
        <v>180</v>
      </c>
      <c r="L187" s="827" t="s">
        <v>181</v>
      </c>
      <c r="M187" s="827" t="s">
        <v>182</v>
      </c>
      <c r="N187" s="827" t="s">
        <v>183</v>
      </c>
      <c r="O187" s="827" t="s">
        <v>175</v>
      </c>
      <c r="P187" s="827" t="s">
        <v>176</v>
      </c>
      <c r="Q187" s="827" t="s">
        <v>177</v>
      </c>
      <c r="R187" s="827" t="s">
        <v>178</v>
      </c>
      <c r="S187" s="827" t="s">
        <v>179</v>
      </c>
      <c r="T187" s="827" t="s">
        <v>180</v>
      </c>
      <c r="U187" s="827" t="s">
        <v>181</v>
      </c>
      <c r="V187" s="827" t="s">
        <v>182</v>
      </c>
      <c r="W187" s="1004" t="s">
        <v>183</v>
      </c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35"/>
      <c r="AJ187" s="35"/>
      <c r="AK187" s="35"/>
      <c r="AL187" s="35"/>
    </row>
    <row r="188" spans="1:38" ht="23.25" customHeight="1" x14ac:dyDescent="0.25">
      <c r="A188" s="33"/>
      <c r="B188" s="826"/>
      <c r="C188" s="827"/>
      <c r="D188" s="827"/>
      <c r="E188" s="827"/>
      <c r="F188" s="827"/>
      <c r="G188" s="827"/>
      <c r="H188" s="827"/>
      <c r="I188" s="827"/>
      <c r="J188" s="827"/>
      <c r="K188" s="827"/>
      <c r="L188" s="827"/>
      <c r="M188" s="827"/>
      <c r="N188" s="827"/>
      <c r="O188" s="827"/>
      <c r="P188" s="827"/>
      <c r="Q188" s="827"/>
      <c r="R188" s="827"/>
      <c r="S188" s="827"/>
      <c r="T188" s="827"/>
      <c r="U188" s="827"/>
      <c r="V188" s="827"/>
      <c r="W188" s="1004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35"/>
      <c r="AJ188" s="35"/>
      <c r="AK188" s="35"/>
      <c r="AL188" s="35"/>
    </row>
    <row r="189" spans="1:38" ht="23.25" customHeight="1" x14ac:dyDescent="0.25">
      <c r="A189" s="33"/>
      <c r="B189" s="746"/>
      <c r="C189" s="745"/>
      <c r="D189" s="745"/>
      <c r="E189" s="745"/>
      <c r="F189" s="127"/>
      <c r="G189" s="127"/>
      <c r="H189" s="127"/>
      <c r="I189" s="127"/>
      <c r="J189" s="127"/>
      <c r="K189" s="127"/>
      <c r="L189" s="127"/>
      <c r="M189" s="127"/>
      <c r="N189" s="127"/>
      <c r="O189" s="131" t="str">
        <f>IF(F189="","",IF(ABS(F189-$I$13)&gt;$H$14,"NOT OK", "OK"))</f>
        <v/>
      </c>
      <c r="P189" s="131" t="str">
        <f>IF(G189="","",IF(ABS(G189-$J$13)&gt;$H$14,"NOT OK", "OK"))</f>
        <v/>
      </c>
      <c r="Q189" s="131" t="str">
        <f>IF(H189="","",IF(ABS(H189-$K$13)&gt;$H$14,"NOT OK", "OK"))</f>
        <v/>
      </c>
      <c r="R189" s="131" t="str">
        <f>IF(I189="","",IF(ABS(I189-$L$13)&gt;$H$14,"NOT OK", "OK"))</f>
        <v/>
      </c>
      <c r="S189" s="131" t="str">
        <f>IF(J189="","",IF(ABS(J189-$M$13)&gt;$H$14,"NOT OK", "OK"))</f>
        <v/>
      </c>
      <c r="T189" s="131" t="str">
        <f>IF(K189="","",IF(ABS(K189-$N$13)&gt;$H$14,"NOT OK", "OK"))</f>
        <v/>
      </c>
      <c r="U189" s="131" t="str">
        <f>IF(L189="","",IF(ABS(L189-$O$13)&gt;$H$14,"NOT OK", "OK"))</f>
        <v/>
      </c>
      <c r="V189" s="131" t="str">
        <f>IF(M189="","",IF(ABS(M189-$P$13)&gt;$H$14,"NOT OK", "OK"))</f>
        <v/>
      </c>
      <c r="W189" s="132" t="str">
        <f>IF(N189="","",IF(ABS(N189-$Q$13)&gt;$H$14,"NOT OK", "OK"))</f>
        <v/>
      </c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35"/>
      <c r="AJ189" s="35"/>
      <c r="AK189" s="35"/>
      <c r="AL189" s="35"/>
    </row>
    <row r="190" spans="1:38" ht="23.25" customHeight="1" x14ac:dyDescent="0.25">
      <c r="A190" s="33"/>
      <c r="B190" s="746"/>
      <c r="C190" s="745"/>
      <c r="D190" s="745"/>
      <c r="E190" s="745"/>
      <c r="F190" s="127"/>
      <c r="G190" s="127"/>
      <c r="H190" s="127"/>
      <c r="I190" s="127"/>
      <c r="J190" s="127"/>
      <c r="K190" s="127"/>
      <c r="L190" s="127"/>
      <c r="M190" s="127"/>
      <c r="N190" s="127"/>
      <c r="O190" s="131" t="str">
        <f t="shared" ref="O190:O192" si="83">IF(F190="","",IF(ABS(F190-$I$13)&gt;$H$14,"NOT OK", "OK"))</f>
        <v/>
      </c>
      <c r="P190" s="131" t="str">
        <f t="shared" ref="P190:P192" si="84">IF(G190="","",IF(ABS(G190-$J$13)&gt;$H$14,"NOT OK", "OK"))</f>
        <v/>
      </c>
      <c r="Q190" s="131" t="str">
        <f t="shared" ref="Q190:Q192" si="85">IF(H190="","",IF(ABS(H190-$K$13)&gt;$H$14,"NOT OK", "OK"))</f>
        <v/>
      </c>
      <c r="R190" s="131" t="str">
        <f t="shared" ref="R190:R192" si="86">IF(I190="","",IF(ABS(I190-$L$13)&gt;$H$14,"NOT OK", "OK"))</f>
        <v/>
      </c>
      <c r="S190" s="131" t="str">
        <f t="shared" ref="S190:S192" si="87">IF(J190="","",IF(ABS(J190-$M$13)&gt;$H$14,"NOT OK", "OK"))</f>
        <v/>
      </c>
      <c r="T190" s="131" t="str">
        <f t="shared" ref="T190:T192" si="88">IF(K190="","",IF(ABS(K190-$N$13)&gt;$H$14,"NOT OK", "OK"))</f>
        <v/>
      </c>
      <c r="U190" s="131" t="str">
        <f>IF(L190="","",IF(ABS(L190-$O$13)&gt;$H$14,"NOT OK", "OK"))</f>
        <v/>
      </c>
      <c r="V190" s="131" t="str">
        <f t="shared" ref="V190:V192" si="89">IF(M190="","",IF(ABS(M190-$P$13)&gt;$H$14,"NOT OK", "OK"))</f>
        <v/>
      </c>
      <c r="W190" s="132" t="str">
        <f t="shared" ref="W190:W192" si="90">IF(N190="","",IF(ABS(N190-$Q$13)&gt;$H$14,"NOT OK", "OK"))</f>
        <v/>
      </c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35"/>
      <c r="AJ190" s="35"/>
      <c r="AK190" s="35"/>
      <c r="AL190" s="35"/>
    </row>
    <row r="191" spans="1:38" ht="23.25" customHeight="1" x14ac:dyDescent="0.25">
      <c r="A191" s="33"/>
      <c r="B191" s="746"/>
      <c r="C191" s="745"/>
      <c r="D191" s="745"/>
      <c r="E191" s="745"/>
      <c r="F191" s="127"/>
      <c r="G191" s="127"/>
      <c r="H191" s="127"/>
      <c r="I191" s="127"/>
      <c r="J191" s="127"/>
      <c r="K191" s="127"/>
      <c r="L191" s="127"/>
      <c r="M191" s="127"/>
      <c r="N191" s="127"/>
      <c r="O191" s="131" t="str">
        <f t="shared" si="83"/>
        <v/>
      </c>
      <c r="P191" s="131" t="str">
        <f t="shared" si="84"/>
        <v/>
      </c>
      <c r="Q191" s="131" t="str">
        <f t="shared" si="85"/>
        <v/>
      </c>
      <c r="R191" s="131" t="str">
        <f t="shared" si="86"/>
        <v/>
      </c>
      <c r="S191" s="131" t="str">
        <f t="shared" si="87"/>
        <v/>
      </c>
      <c r="T191" s="131" t="str">
        <f t="shared" si="88"/>
        <v/>
      </c>
      <c r="U191" s="131" t="str">
        <f t="shared" ref="U191:U192" si="91">IF(L191="","",IF(ABS(L191-$O$13)&gt;$H$14,"NOT OK", "OK"))</f>
        <v/>
      </c>
      <c r="V191" s="131" t="str">
        <f t="shared" si="89"/>
        <v/>
      </c>
      <c r="W191" s="132" t="str">
        <f t="shared" si="90"/>
        <v/>
      </c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35"/>
      <c r="AJ191" s="35"/>
      <c r="AK191" s="35"/>
      <c r="AL191" s="35"/>
    </row>
    <row r="192" spans="1:38" ht="23.25" customHeight="1" x14ac:dyDescent="0.25">
      <c r="A192" s="33"/>
      <c r="B192" s="746"/>
      <c r="C192" s="745"/>
      <c r="D192" s="745"/>
      <c r="E192" s="745"/>
      <c r="F192" s="127"/>
      <c r="G192" s="127"/>
      <c r="H192" s="127"/>
      <c r="I192" s="127"/>
      <c r="J192" s="127"/>
      <c r="K192" s="127"/>
      <c r="L192" s="127"/>
      <c r="M192" s="127"/>
      <c r="N192" s="127"/>
      <c r="O192" s="131" t="str">
        <f t="shared" si="83"/>
        <v/>
      </c>
      <c r="P192" s="131" t="str">
        <f t="shared" si="84"/>
        <v/>
      </c>
      <c r="Q192" s="131" t="str">
        <f t="shared" si="85"/>
        <v/>
      </c>
      <c r="R192" s="131" t="str">
        <f t="shared" si="86"/>
        <v/>
      </c>
      <c r="S192" s="131" t="str">
        <f t="shared" si="87"/>
        <v/>
      </c>
      <c r="T192" s="131" t="str">
        <f t="shared" si="88"/>
        <v/>
      </c>
      <c r="U192" s="131" t="str">
        <f t="shared" si="91"/>
        <v/>
      </c>
      <c r="V192" s="131" t="str">
        <f t="shared" si="89"/>
        <v/>
      </c>
      <c r="W192" s="132" t="str">
        <f t="shared" si="90"/>
        <v/>
      </c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35"/>
      <c r="AJ192" s="35"/>
      <c r="AK192" s="35"/>
      <c r="AL192" s="35"/>
    </row>
    <row r="193" spans="1:38" ht="23.25" customHeight="1" x14ac:dyDescent="0.25">
      <c r="A193" s="33"/>
      <c r="B193" s="826" t="s">
        <v>28</v>
      </c>
      <c r="C193" s="827"/>
      <c r="D193" s="827" t="s">
        <v>185</v>
      </c>
      <c r="E193" s="827"/>
      <c r="F193" s="829" t="s">
        <v>1</v>
      </c>
      <c r="G193" s="829"/>
      <c r="H193" s="829"/>
      <c r="I193" s="829"/>
      <c r="J193" s="829"/>
      <c r="K193" s="829"/>
      <c r="L193" s="829"/>
      <c r="M193" s="829"/>
      <c r="N193" s="829"/>
      <c r="O193" s="829" t="s">
        <v>124</v>
      </c>
      <c r="P193" s="829"/>
      <c r="Q193" s="829"/>
      <c r="R193" s="829"/>
      <c r="S193" s="829"/>
      <c r="T193" s="829"/>
      <c r="U193" s="829"/>
      <c r="V193" s="829"/>
      <c r="W193" s="875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35"/>
      <c r="AJ193" s="35"/>
      <c r="AK193" s="35"/>
      <c r="AL193" s="35"/>
    </row>
    <row r="194" spans="1:38" ht="23.25" customHeight="1" x14ac:dyDescent="0.25">
      <c r="A194" s="33"/>
      <c r="B194" s="826"/>
      <c r="C194" s="827"/>
      <c r="D194" s="827"/>
      <c r="E194" s="827"/>
      <c r="F194" s="827" t="s">
        <v>175</v>
      </c>
      <c r="G194" s="827" t="s">
        <v>176</v>
      </c>
      <c r="H194" s="827" t="s">
        <v>177</v>
      </c>
      <c r="I194" s="827" t="s">
        <v>178</v>
      </c>
      <c r="J194" s="827" t="s">
        <v>179</v>
      </c>
      <c r="K194" s="827" t="s">
        <v>180</v>
      </c>
      <c r="L194" s="827" t="s">
        <v>181</v>
      </c>
      <c r="M194" s="827" t="s">
        <v>182</v>
      </c>
      <c r="N194" s="827" t="s">
        <v>183</v>
      </c>
      <c r="O194" s="827" t="s">
        <v>175</v>
      </c>
      <c r="P194" s="827" t="s">
        <v>176</v>
      </c>
      <c r="Q194" s="827" t="s">
        <v>177</v>
      </c>
      <c r="R194" s="827" t="s">
        <v>178</v>
      </c>
      <c r="S194" s="827" t="s">
        <v>179</v>
      </c>
      <c r="T194" s="827" t="s">
        <v>180</v>
      </c>
      <c r="U194" s="827" t="s">
        <v>181</v>
      </c>
      <c r="V194" s="827" t="s">
        <v>182</v>
      </c>
      <c r="W194" s="1004" t="s">
        <v>183</v>
      </c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35"/>
      <c r="AJ194" s="35"/>
      <c r="AK194" s="35"/>
      <c r="AL194" s="35"/>
    </row>
    <row r="195" spans="1:38" ht="23.25" customHeight="1" x14ac:dyDescent="0.25">
      <c r="A195" s="33"/>
      <c r="B195" s="826"/>
      <c r="C195" s="827"/>
      <c r="D195" s="827"/>
      <c r="E195" s="827"/>
      <c r="F195" s="827"/>
      <c r="G195" s="827"/>
      <c r="H195" s="827"/>
      <c r="I195" s="827"/>
      <c r="J195" s="827"/>
      <c r="K195" s="827"/>
      <c r="L195" s="827"/>
      <c r="M195" s="827"/>
      <c r="N195" s="827"/>
      <c r="O195" s="827"/>
      <c r="P195" s="827"/>
      <c r="Q195" s="827"/>
      <c r="R195" s="827"/>
      <c r="S195" s="827"/>
      <c r="T195" s="827"/>
      <c r="U195" s="827"/>
      <c r="V195" s="827"/>
      <c r="W195" s="1004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35"/>
      <c r="AJ195" s="35"/>
      <c r="AK195" s="35"/>
      <c r="AL195" s="35"/>
    </row>
    <row r="196" spans="1:38" ht="23.25" customHeight="1" x14ac:dyDescent="0.25">
      <c r="A196" s="33"/>
      <c r="B196" s="746"/>
      <c r="C196" s="745"/>
      <c r="D196" s="745"/>
      <c r="E196" s="745"/>
      <c r="F196" s="127"/>
      <c r="G196" s="127"/>
      <c r="H196" s="127"/>
      <c r="I196" s="127"/>
      <c r="J196" s="127"/>
      <c r="K196" s="127"/>
      <c r="L196" s="127"/>
      <c r="M196" s="127"/>
      <c r="N196" s="127"/>
      <c r="O196" s="131" t="str">
        <f>IF(F196="","",IF(ABS(F196-$I$13)&gt;$H$14,"NOT OK", "OK"))</f>
        <v/>
      </c>
      <c r="P196" s="131" t="str">
        <f>IF(G196="","",IF(ABS(G196-$J$13)&gt;$H$14,"NOT OK", "OK"))</f>
        <v/>
      </c>
      <c r="Q196" s="131" t="str">
        <f>IF(H196="","",IF(ABS(H196-$K$13)&gt;$H$14,"NOT OK", "OK"))</f>
        <v/>
      </c>
      <c r="R196" s="131" t="str">
        <f>IF(I196="","",IF(ABS(I196-$L$13)&gt;$H$14,"NOT OK", "OK"))</f>
        <v/>
      </c>
      <c r="S196" s="131" t="str">
        <f>IF(J196="","",IF(ABS(J196-$M$13)&gt;$H$14,"NOT OK", "OK"))</f>
        <v/>
      </c>
      <c r="T196" s="131" t="str">
        <f>IF(K196="","",IF(ABS(K196-$N$13)&gt;$H$14,"NOT OK", "OK"))</f>
        <v/>
      </c>
      <c r="U196" s="131" t="str">
        <f>IF(L196="","",IF(ABS(L196-$O$13)&gt;$H$14,"NOT OK", "OK"))</f>
        <v/>
      </c>
      <c r="V196" s="131" t="str">
        <f>IF(M196="","",IF(ABS(M196-$P$13)&gt;$H$14,"NOT OK", "OK"))</f>
        <v/>
      </c>
      <c r="W196" s="132" t="str">
        <f>IF(N196="","",IF(ABS(N196-$Q$13)&gt;$H$14,"NOT OK", "OK"))</f>
        <v/>
      </c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35"/>
      <c r="AJ196" s="35"/>
      <c r="AK196" s="35"/>
      <c r="AL196" s="35"/>
    </row>
    <row r="197" spans="1:38" ht="23.25" customHeight="1" x14ac:dyDescent="0.25">
      <c r="A197" s="33"/>
      <c r="B197" s="746"/>
      <c r="C197" s="745"/>
      <c r="D197" s="745"/>
      <c r="E197" s="745"/>
      <c r="F197" s="127"/>
      <c r="G197" s="127"/>
      <c r="H197" s="127"/>
      <c r="I197" s="127"/>
      <c r="J197" s="127"/>
      <c r="K197" s="127"/>
      <c r="L197" s="127"/>
      <c r="M197" s="127"/>
      <c r="N197" s="127"/>
      <c r="O197" s="131" t="str">
        <f t="shared" ref="O197:O199" si="92">IF(F197="","",IF(ABS(F197-$I$13)&gt;$H$14,"NOT OK", "OK"))</f>
        <v/>
      </c>
      <c r="P197" s="131" t="str">
        <f t="shared" ref="P197:P199" si="93">IF(G197="","",IF(ABS(G197-$J$13)&gt;$H$14,"NOT OK", "OK"))</f>
        <v/>
      </c>
      <c r="Q197" s="131" t="str">
        <f t="shared" ref="Q197:Q199" si="94">IF(H197="","",IF(ABS(H197-$K$13)&gt;$H$14,"NOT OK", "OK"))</f>
        <v/>
      </c>
      <c r="R197" s="131" t="str">
        <f t="shared" ref="R197:R199" si="95">IF(I197="","",IF(ABS(I197-$L$13)&gt;$H$14,"NOT OK", "OK"))</f>
        <v/>
      </c>
      <c r="S197" s="131" t="str">
        <f t="shared" ref="S197:S199" si="96">IF(J197="","",IF(ABS(J197-$M$13)&gt;$H$14,"NOT OK", "OK"))</f>
        <v/>
      </c>
      <c r="T197" s="131" t="str">
        <f t="shared" ref="T197:T199" si="97">IF(K197="","",IF(ABS(K197-$N$13)&gt;$H$14,"NOT OK", "OK"))</f>
        <v/>
      </c>
      <c r="U197" s="131" t="str">
        <f>IF(L197="","",IF(ABS(L197-$O$13)&gt;$H$14,"NOT OK", "OK"))</f>
        <v/>
      </c>
      <c r="V197" s="131" t="str">
        <f t="shared" ref="V197:V199" si="98">IF(M197="","",IF(ABS(M197-$P$13)&gt;$H$14,"NOT OK", "OK"))</f>
        <v/>
      </c>
      <c r="W197" s="132" t="str">
        <f t="shared" ref="W197:W199" si="99">IF(N197="","",IF(ABS(N197-$Q$13)&gt;$H$14,"NOT OK", "OK"))</f>
        <v/>
      </c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35"/>
      <c r="AJ197" s="35"/>
      <c r="AK197" s="35"/>
      <c r="AL197" s="35"/>
    </row>
    <row r="198" spans="1:38" ht="23.25" customHeight="1" x14ac:dyDescent="0.25">
      <c r="A198" s="33"/>
      <c r="B198" s="746"/>
      <c r="C198" s="745"/>
      <c r="D198" s="745"/>
      <c r="E198" s="745"/>
      <c r="F198" s="127"/>
      <c r="G198" s="127"/>
      <c r="H198" s="127"/>
      <c r="I198" s="127"/>
      <c r="J198" s="127"/>
      <c r="K198" s="127"/>
      <c r="L198" s="127"/>
      <c r="M198" s="127"/>
      <c r="N198" s="127"/>
      <c r="O198" s="131" t="str">
        <f t="shared" si="92"/>
        <v/>
      </c>
      <c r="P198" s="131" t="str">
        <f t="shared" si="93"/>
        <v/>
      </c>
      <c r="Q198" s="131" t="str">
        <f t="shared" si="94"/>
        <v/>
      </c>
      <c r="R198" s="131" t="str">
        <f t="shared" si="95"/>
        <v/>
      </c>
      <c r="S198" s="131" t="str">
        <f t="shared" si="96"/>
        <v/>
      </c>
      <c r="T198" s="131" t="str">
        <f t="shared" si="97"/>
        <v/>
      </c>
      <c r="U198" s="131" t="str">
        <f t="shared" ref="U198:U199" si="100">IF(L198="","",IF(ABS(L198-$O$13)&gt;$H$14,"NOT OK", "OK"))</f>
        <v/>
      </c>
      <c r="V198" s="131" t="str">
        <f t="shared" si="98"/>
        <v/>
      </c>
      <c r="W198" s="132" t="str">
        <f t="shared" si="99"/>
        <v/>
      </c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35"/>
      <c r="AJ198" s="35"/>
      <c r="AK198" s="35"/>
      <c r="AL198" s="35"/>
    </row>
    <row r="199" spans="1:38" ht="23.25" customHeight="1" thickBot="1" x14ac:dyDescent="0.3">
      <c r="A199" s="33"/>
      <c r="B199" s="805"/>
      <c r="C199" s="806"/>
      <c r="D199" s="806"/>
      <c r="E199" s="806"/>
      <c r="F199" s="128"/>
      <c r="G199" s="128"/>
      <c r="H199" s="128"/>
      <c r="I199" s="128"/>
      <c r="J199" s="128"/>
      <c r="K199" s="128"/>
      <c r="L199" s="128"/>
      <c r="M199" s="128"/>
      <c r="N199" s="128"/>
      <c r="O199" s="133" t="str">
        <f t="shared" si="92"/>
        <v/>
      </c>
      <c r="P199" s="133" t="str">
        <f t="shared" si="93"/>
        <v/>
      </c>
      <c r="Q199" s="133" t="str">
        <f t="shared" si="94"/>
        <v/>
      </c>
      <c r="R199" s="133" t="str">
        <f t="shared" si="95"/>
        <v/>
      </c>
      <c r="S199" s="133" t="str">
        <f t="shared" si="96"/>
        <v/>
      </c>
      <c r="T199" s="133" t="str">
        <f t="shared" si="97"/>
        <v/>
      </c>
      <c r="U199" s="133" t="str">
        <f t="shared" si="100"/>
        <v/>
      </c>
      <c r="V199" s="133" t="str">
        <f t="shared" si="98"/>
        <v/>
      </c>
      <c r="W199" s="134" t="str">
        <f t="shared" si="99"/>
        <v/>
      </c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35"/>
      <c r="AJ199" s="35"/>
      <c r="AK199" s="35"/>
      <c r="AL199" s="35"/>
    </row>
    <row r="200" spans="1:38" ht="23.25" customHeight="1" x14ac:dyDescent="0.25">
      <c r="A200" s="33"/>
      <c r="B200" s="4"/>
      <c r="C200" s="4"/>
      <c r="D200" s="4"/>
      <c r="E200" s="4"/>
      <c r="F200" s="17"/>
      <c r="G200" s="17"/>
      <c r="H200" s="17"/>
      <c r="I200" s="17"/>
      <c r="J200" s="17"/>
      <c r="K200" s="17"/>
      <c r="L200" s="17"/>
      <c r="M200" s="17"/>
      <c r="N200" s="17"/>
      <c r="O200" s="142"/>
      <c r="P200" s="142"/>
      <c r="Q200" s="142"/>
      <c r="R200" s="142"/>
      <c r="S200" s="142"/>
      <c r="T200" s="142"/>
      <c r="U200" s="142"/>
      <c r="V200" s="142"/>
      <c r="W200" s="142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35"/>
      <c r="AJ200" s="35"/>
      <c r="AK200" s="35"/>
      <c r="AL200" s="35"/>
    </row>
    <row r="201" spans="1:38" ht="23.25" customHeight="1" thickBot="1" x14ac:dyDescent="0.3">
      <c r="A201" s="33"/>
      <c r="B201" s="4"/>
      <c r="C201" s="4"/>
      <c r="D201" s="4"/>
      <c r="E201" s="4"/>
      <c r="F201" s="17"/>
      <c r="G201" s="17"/>
      <c r="H201" s="17"/>
      <c r="I201" s="17"/>
      <c r="J201" s="17"/>
      <c r="K201" s="17"/>
      <c r="L201" s="17"/>
      <c r="M201" s="17"/>
      <c r="N201" s="17"/>
      <c r="O201" s="142"/>
      <c r="P201" s="142"/>
      <c r="Q201" s="142"/>
      <c r="R201" s="142"/>
      <c r="S201" s="142"/>
      <c r="T201" s="142"/>
      <c r="U201" s="142"/>
      <c r="V201" s="142"/>
      <c r="W201" s="142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35"/>
      <c r="AJ201" s="35"/>
      <c r="AK201" s="35"/>
      <c r="AL201" s="35"/>
    </row>
    <row r="202" spans="1:38" ht="23.25" customHeight="1" x14ac:dyDescent="0.25">
      <c r="A202" s="33"/>
      <c r="B202" s="4"/>
      <c r="C202" s="4"/>
      <c r="D202" s="4"/>
      <c r="E202" s="4"/>
      <c r="F202" s="863" t="s">
        <v>184</v>
      </c>
      <c r="G202" s="828"/>
      <c r="H202" s="828"/>
      <c r="I202" s="828"/>
      <c r="J202" s="828"/>
      <c r="K202" s="828"/>
      <c r="L202" s="828"/>
      <c r="M202" s="828"/>
      <c r="N202" s="874"/>
      <c r="O202" s="142"/>
      <c r="P202" s="142"/>
      <c r="Q202" s="142"/>
      <c r="R202" s="142"/>
      <c r="S202" s="142"/>
      <c r="T202" s="142"/>
      <c r="U202" s="142"/>
      <c r="V202" s="142"/>
      <c r="W202" s="142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35"/>
      <c r="AJ202" s="35"/>
      <c r="AK202" s="35"/>
      <c r="AL202" s="35"/>
    </row>
    <row r="203" spans="1:38" ht="23.25" customHeight="1" x14ac:dyDescent="0.25">
      <c r="A203" s="33"/>
      <c r="B203" s="4"/>
      <c r="C203" s="4"/>
      <c r="D203" s="4"/>
      <c r="E203" s="4"/>
      <c r="F203" s="826" t="s">
        <v>175</v>
      </c>
      <c r="G203" s="827" t="s">
        <v>176</v>
      </c>
      <c r="H203" s="827" t="s">
        <v>177</v>
      </c>
      <c r="I203" s="827" t="s">
        <v>178</v>
      </c>
      <c r="J203" s="827" t="s">
        <v>179</v>
      </c>
      <c r="K203" s="827" t="s">
        <v>180</v>
      </c>
      <c r="L203" s="827" t="s">
        <v>181</v>
      </c>
      <c r="M203" s="827" t="s">
        <v>182</v>
      </c>
      <c r="N203" s="1004" t="s">
        <v>183</v>
      </c>
      <c r="O203" s="142"/>
      <c r="P203" s="142"/>
      <c r="Q203" s="142"/>
      <c r="R203" s="142"/>
      <c r="S203" s="142"/>
      <c r="T203" s="142"/>
      <c r="U203" s="142"/>
      <c r="V203" s="142"/>
      <c r="W203" s="142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35"/>
      <c r="AJ203" s="35"/>
      <c r="AK203" s="35"/>
      <c r="AL203" s="35"/>
    </row>
    <row r="204" spans="1:38" ht="23.25" customHeight="1" x14ac:dyDescent="0.25">
      <c r="A204" s="33"/>
      <c r="B204" s="4"/>
      <c r="C204" s="4"/>
      <c r="D204" s="4"/>
      <c r="E204" s="4"/>
      <c r="F204" s="826"/>
      <c r="G204" s="827"/>
      <c r="H204" s="827"/>
      <c r="I204" s="827"/>
      <c r="J204" s="827"/>
      <c r="K204" s="827"/>
      <c r="L204" s="827"/>
      <c r="M204" s="827"/>
      <c r="N204" s="1004"/>
      <c r="O204" s="142"/>
      <c r="P204" s="142"/>
      <c r="Q204" s="142"/>
      <c r="R204" s="142"/>
      <c r="S204" s="142"/>
      <c r="T204" s="142"/>
      <c r="U204" s="142"/>
      <c r="V204" s="142"/>
      <c r="W204" s="142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35"/>
      <c r="AJ204" s="35"/>
      <c r="AK204" s="35"/>
      <c r="AL204" s="35"/>
    </row>
    <row r="205" spans="1:38" ht="23.25" customHeight="1" x14ac:dyDescent="0.25">
      <c r="A205" s="33"/>
      <c r="B205" s="4"/>
      <c r="C205" s="4"/>
      <c r="D205" s="4"/>
      <c r="E205" s="4"/>
      <c r="F205" s="135" t="str">
        <f>IF(F189="","",ABS(F189-F196))</f>
        <v/>
      </c>
      <c r="G205" s="136" t="str">
        <f t="shared" ref="G205:N205" si="101">IF(G189="","",ABS(G189-G196))</f>
        <v/>
      </c>
      <c r="H205" s="136" t="str">
        <f t="shared" si="101"/>
        <v/>
      </c>
      <c r="I205" s="136" t="str">
        <f t="shared" si="101"/>
        <v/>
      </c>
      <c r="J205" s="136" t="str">
        <f t="shared" si="101"/>
        <v/>
      </c>
      <c r="K205" s="136" t="str">
        <f t="shared" si="101"/>
        <v/>
      </c>
      <c r="L205" s="136" t="str">
        <f t="shared" si="101"/>
        <v/>
      </c>
      <c r="M205" s="136" t="str">
        <f t="shared" si="101"/>
        <v/>
      </c>
      <c r="N205" s="137" t="str">
        <f t="shared" si="101"/>
        <v/>
      </c>
      <c r="O205" s="142"/>
      <c r="P205" s="142"/>
      <c r="Q205" s="142"/>
      <c r="R205" s="142"/>
      <c r="S205" s="142"/>
      <c r="T205" s="142"/>
      <c r="U205" s="142"/>
      <c r="V205" s="142"/>
      <c r="W205" s="142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35"/>
      <c r="AJ205" s="35"/>
      <c r="AK205" s="35"/>
      <c r="AL205" s="35"/>
    </row>
    <row r="206" spans="1:38" ht="23.25" customHeight="1" x14ac:dyDescent="0.25">
      <c r="A206" s="33"/>
      <c r="B206" s="4"/>
      <c r="C206" s="4"/>
      <c r="D206" s="4"/>
      <c r="E206" s="4"/>
      <c r="F206" s="135" t="str">
        <f t="shared" ref="F206:N206" si="102">IF(F190="","",ABS(F190-F197))</f>
        <v/>
      </c>
      <c r="G206" s="136" t="str">
        <f t="shared" si="102"/>
        <v/>
      </c>
      <c r="H206" s="136" t="str">
        <f t="shared" si="102"/>
        <v/>
      </c>
      <c r="I206" s="136" t="str">
        <f t="shared" si="102"/>
        <v/>
      </c>
      <c r="J206" s="136" t="str">
        <f t="shared" si="102"/>
        <v/>
      </c>
      <c r="K206" s="136" t="str">
        <f t="shared" si="102"/>
        <v/>
      </c>
      <c r="L206" s="136" t="str">
        <f t="shared" si="102"/>
        <v/>
      </c>
      <c r="M206" s="136" t="str">
        <f t="shared" si="102"/>
        <v/>
      </c>
      <c r="N206" s="137" t="str">
        <f t="shared" si="102"/>
        <v/>
      </c>
      <c r="O206" s="142"/>
      <c r="P206" s="142"/>
      <c r="Q206" s="142"/>
      <c r="R206" s="142"/>
      <c r="S206" s="142"/>
      <c r="T206" s="142"/>
      <c r="U206" s="142"/>
      <c r="V206" s="142"/>
      <c r="W206" s="142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35"/>
      <c r="AJ206" s="35"/>
      <c r="AK206" s="35"/>
      <c r="AL206" s="35"/>
    </row>
    <row r="207" spans="1:38" ht="23.25" customHeight="1" x14ac:dyDescent="0.25">
      <c r="A207" s="33"/>
      <c r="B207" s="4"/>
      <c r="C207" s="4"/>
      <c r="D207" s="4"/>
      <c r="E207" s="4"/>
      <c r="F207" s="135" t="str">
        <f t="shared" ref="F207:N207" si="103">IF(F191="","",ABS(F191-F198))</f>
        <v/>
      </c>
      <c r="G207" s="136" t="str">
        <f t="shared" si="103"/>
        <v/>
      </c>
      <c r="H207" s="136" t="str">
        <f t="shared" si="103"/>
        <v/>
      </c>
      <c r="I207" s="136" t="str">
        <f t="shared" si="103"/>
        <v/>
      </c>
      <c r="J207" s="136" t="str">
        <f t="shared" si="103"/>
        <v/>
      </c>
      <c r="K207" s="136" t="str">
        <f t="shared" si="103"/>
        <v/>
      </c>
      <c r="L207" s="136" t="str">
        <f t="shared" si="103"/>
        <v/>
      </c>
      <c r="M207" s="136" t="str">
        <f t="shared" si="103"/>
        <v/>
      </c>
      <c r="N207" s="137" t="str">
        <f t="shared" si="103"/>
        <v/>
      </c>
      <c r="O207" s="142"/>
      <c r="P207" s="142"/>
      <c r="Q207" s="142"/>
      <c r="R207" s="142"/>
      <c r="S207" s="142"/>
      <c r="T207" s="142"/>
      <c r="U207" s="142"/>
      <c r="V207" s="142"/>
      <c r="W207" s="142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35"/>
      <c r="AJ207" s="35"/>
      <c r="AK207" s="35"/>
      <c r="AL207" s="35"/>
    </row>
    <row r="208" spans="1:38" ht="23.25" customHeight="1" thickBot="1" x14ac:dyDescent="0.3">
      <c r="A208" s="33"/>
      <c r="B208" s="4"/>
      <c r="C208" s="4"/>
      <c r="D208" s="4"/>
      <c r="E208" s="4"/>
      <c r="F208" s="138" t="str">
        <f t="shared" ref="F208:M208" si="104">IF(F192="","",ABS(F192-F199))</f>
        <v/>
      </c>
      <c r="G208" s="139" t="str">
        <f t="shared" si="104"/>
        <v/>
      </c>
      <c r="H208" s="139" t="str">
        <f t="shared" si="104"/>
        <v/>
      </c>
      <c r="I208" s="139" t="str">
        <f t="shared" si="104"/>
        <v/>
      </c>
      <c r="J208" s="139" t="str">
        <f t="shared" si="104"/>
        <v/>
      </c>
      <c r="K208" s="139" t="str">
        <f t="shared" si="104"/>
        <v/>
      </c>
      <c r="L208" s="139" t="str">
        <f t="shared" si="104"/>
        <v/>
      </c>
      <c r="M208" s="139" t="str">
        <f t="shared" si="104"/>
        <v/>
      </c>
      <c r="N208" s="140" t="str">
        <f>IF(N192="","",ABS(N192-N199))</f>
        <v/>
      </c>
      <c r="O208" s="142"/>
      <c r="P208" s="142"/>
      <c r="Q208" s="142"/>
      <c r="R208" s="142"/>
      <c r="S208" s="142"/>
      <c r="T208" s="142"/>
      <c r="U208" s="142"/>
      <c r="V208" s="142"/>
      <c r="W208" s="142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35"/>
      <c r="AJ208" s="35"/>
      <c r="AK208" s="35"/>
      <c r="AL208" s="35"/>
    </row>
    <row r="209" spans="1:38" ht="23.25" customHeight="1" thickBot="1" x14ac:dyDescent="0.3">
      <c r="A209" s="3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142"/>
      <c r="P209" s="142"/>
      <c r="Q209" s="142"/>
      <c r="R209" s="142"/>
      <c r="S209" s="142"/>
      <c r="T209" s="142"/>
      <c r="U209" s="142"/>
      <c r="V209" s="142"/>
      <c r="W209" s="142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35"/>
      <c r="AJ209" s="35"/>
      <c r="AK209" s="35"/>
      <c r="AL209" s="35"/>
    </row>
    <row r="210" spans="1:38" ht="23.25" customHeight="1" x14ac:dyDescent="0.25">
      <c r="A210" s="33"/>
      <c r="B210" s="4"/>
      <c r="C210" s="4"/>
      <c r="D210" s="4"/>
      <c r="E210" s="4"/>
      <c r="F210" s="824" t="s">
        <v>175</v>
      </c>
      <c r="G210" s="825" t="s">
        <v>176</v>
      </c>
      <c r="H210" s="825" t="s">
        <v>177</v>
      </c>
      <c r="I210" s="825" t="s">
        <v>178</v>
      </c>
      <c r="J210" s="825" t="s">
        <v>179</v>
      </c>
      <c r="K210" s="825" t="s">
        <v>180</v>
      </c>
      <c r="L210" s="825" t="s">
        <v>181</v>
      </c>
      <c r="M210" s="825" t="s">
        <v>182</v>
      </c>
      <c r="N210" s="1019" t="s">
        <v>183</v>
      </c>
      <c r="O210" s="142"/>
      <c r="P210" s="142"/>
      <c r="Q210" s="142"/>
      <c r="R210" s="142"/>
      <c r="S210" s="142"/>
      <c r="T210" s="142"/>
      <c r="U210" s="142"/>
      <c r="V210" s="142"/>
      <c r="W210" s="142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35"/>
      <c r="AJ210" s="35"/>
      <c r="AK210" s="35"/>
      <c r="AL210" s="35"/>
    </row>
    <row r="211" spans="1:38" ht="23.25" customHeight="1" thickBot="1" x14ac:dyDescent="0.3">
      <c r="A211" s="33"/>
      <c r="B211" s="4"/>
      <c r="C211" s="4"/>
      <c r="D211" s="4"/>
      <c r="E211" s="4"/>
      <c r="F211" s="1022"/>
      <c r="G211" s="1021"/>
      <c r="H211" s="1021"/>
      <c r="I211" s="1021"/>
      <c r="J211" s="1021"/>
      <c r="K211" s="1021"/>
      <c r="L211" s="1021"/>
      <c r="M211" s="1021"/>
      <c r="N211" s="1020"/>
      <c r="O211" s="142"/>
      <c r="P211" s="142"/>
      <c r="Q211" s="142"/>
      <c r="R211" s="142"/>
      <c r="S211" s="142"/>
      <c r="T211" s="142"/>
      <c r="U211" s="142"/>
      <c r="V211" s="142"/>
      <c r="W211" s="142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35"/>
      <c r="AJ211" s="35"/>
      <c r="AK211" s="35"/>
      <c r="AL211" s="35"/>
    </row>
    <row r="212" spans="1:38" ht="23.25" customHeight="1" x14ac:dyDescent="0.25">
      <c r="A212" s="33"/>
      <c r="B212" s="762" t="s">
        <v>125</v>
      </c>
      <c r="C212" s="763"/>
      <c r="D212" s="763"/>
      <c r="E212" s="763"/>
      <c r="F212" s="143" t="str">
        <f>IF(F189="","",_xlfn.MODE.SNGL(F189:F192,F196:F199))</f>
        <v/>
      </c>
      <c r="G212" s="143" t="str">
        <f t="shared" ref="G212:N212" si="105">IF(G189="","",_xlfn.MODE.SNGL(G189:G192,G196:G199))</f>
        <v/>
      </c>
      <c r="H212" s="143" t="str">
        <f t="shared" si="105"/>
        <v/>
      </c>
      <c r="I212" s="143" t="str">
        <f t="shared" si="105"/>
        <v/>
      </c>
      <c r="J212" s="143" t="str">
        <f t="shared" si="105"/>
        <v/>
      </c>
      <c r="K212" s="143" t="str">
        <f t="shared" si="105"/>
        <v/>
      </c>
      <c r="L212" s="143" t="str">
        <f t="shared" si="105"/>
        <v/>
      </c>
      <c r="M212" s="143" t="str">
        <f t="shared" si="105"/>
        <v/>
      </c>
      <c r="N212" s="144" t="str">
        <f t="shared" si="105"/>
        <v/>
      </c>
      <c r="O212" s="142"/>
      <c r="P212" s="142"/>
      <c r="Q212" s="142"/>
      <c r="R212" s="142"/>
      <c r="S212" s="142"/>
      <c r="T212" s="142"/>
      <c r="U212" s="142"/>
      <c r="V212" s="142"/>
      <c r="W212" s="142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35"/>
      <c r="AJ212" s="35"/>
      <c r="AK212" s="35"/>
      <c r="AL212" s="35"/>
    </row>
    <row r="213" spans="1:38" ht="23.25" customHeight="1" x14ac:dyDescent="0.25">
      <c r="A213" s="33"/>
      <c r="B213" s="1002" t="s">
        <v>126</v>
      </c>
      <c r="C213" s="1003"/>
      <c r="D213" s="1003"/>
      <c r="E213" s="1003"/>
      <c r="F213" s="145" t="str">
        <f>IF(F189="","",MEDIAN(F189:F192,F196:F199))</f>
        <v/>
      </c>
      <c r="G213" s="145" t="str">
        <f t="shared" ref="G213:N213" si="106">IF(G189="","",MEDIAN(G189:G192,G196:G199))</f>
        <v/>
      </c>
      <c r="H213" s="145" t="str">
        <f t="shared" si="106"/>
        <v/>
      </c>
      <c r="I213" s="145" t="str">
        <f t="shared" si="106"/>
        <v/>
      </c>
      <c r="J213" s="145" t="str">
        <f t="shared" si="106"/>
        <v/>
      </c>
      <c r="K213" s="145" t="str">
        <f t="shared" si="106"/>
        <v/>
      </c>
      <c r="L213" s="145" t="str">
        <f t="shared" si="106"/>
        <v/>
      </c>
      <c r="M213" s="145" t="str">
        <f t="shared" si="106"/>
        <v/>
      </c>
      <c r="N213" s="146" t="str">
        <f t="shared" si="106"/>
        <v/>
      </c>
      <c r="O213" s="142"/>
      <c r="P213" s="142"/>
      <c r="Q213" s="142"/>
      <c r="R213" s="142"/>
      <c r="S213" s="142"/>
      <c r="T213" s="142"/>
      <c r="U213" s="142"/>
      <c r="V213" s="142"/>
      <c r="W213" s="142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35"/>
      <c r="AJ213" s="35"/>
      <c r="AK213" s="35"/>
      <c r="AL213" s="35"/>
    </row>
    <row r="214" spans="1:38" ht="36.75" customHeight="1" x14ac:dyDescent="0.25">
      <c r="A214" s="33"/>
      <c r="B214" s="939" t="s">
        <v>189</v>
      </c>
      <c r="C214" s="940"/>
      <c r="D214" s="940"/>
      <c r="E214" s="940"/>
      <c r="F214" s="987" t="str">
        <f>IF(F189="","",IF(AND(OR(O189=$AA$4,O189=""),OR(O190=$AA$4,O190=""),OR(O191=$AA$4,O191=""),OR(O192=$AA$4,O192=""),OR(O196=$AA$4,O196=""),OR(O197=$AA$4,O197=""),OR(O198=$AA$4,O198=""),OR(O199=$AA$4,O199=""),OR(F205&lt;=$H$14,F205=""),OR(F206&lt;=$H$14,F206=""),OR(F207&lt;=$H$14,F207=""),OR(F208&lt;=$H$14,F208="")),"Les échantillons sont stables", "Les échantillons ne sont pas stables;remplacer par d'autre résultats"))</f>
        <v/>
      </c>
      <c r="G214" s="987" t="str">
        <f t="shared" ref="G214" si="107">IF(G189="","",IF(AND(OR(P189=$AA$4,P189=""),OR(P190=$AA$4,P190=""),OR(P191=$AA$4,P191=""),OR(P192=$AA$4,P192=""),OR(P196=$AA$4,P196=""),OR(P197=$AA$4,P197=""),OR(P198=$AA$4,P198=""),OR(P199=$AA$4,P199=""),OR(G205&lt;=$H$14,G205=""),OR(G206&lt;=$H$14,G206=""),OR(G207&lt;=$H$14,G207=""),OR(G208&lt;=$H$14,G208="")),"Les échantillons sont stables", "Les échantillons ne sont pas stables;remplacer par d'autre résultats"))</f>
        <v/>
      </c>
      <c r="H214" s="987" t="str">
        <f t="shared" ref="H214" si="108">IF(H189="","",IF(AND(OR(Q189=$AA$4,Q189=""),OR(Q190=$AA$4,Q190=""),OR(Q191=$AA$4,Q191=""),OR(Q192=$AA$4,Q192=""),OR(Q196=$AA$4,Q196=""),OR(Q197=$AA$4,Q197=""),OR(Q198=$AA$4,Q198=""),OR(Q199=$AA$4,Q199=""),OR(H205&lt;=$H$14,H205=""),OR(H206&lt;=$H$14,H206=""),OR(H207&lt;=$H$14,H207=""),OR(H208&lt;=$H$14,H208="")),"Les échantillons sont stables", "Les échantillons ne sont pas stables;remplacer par d'autre résultats"))</f>
        <v/>
      </c>
      <c r="I214" s="987" t="str">
        <f t="shared" ref="I214" si="109">IF(I189="","",IF(AND(OR(R189=$AA$4,R189=""),OR(R190=$AA$4,R190=""),OR(R191=$AA$4,R191=""),OR(R192=$AA$4,R192=""),OR(R196=$AA$4,R196=""),OR(R197=$AA$4,R197=""),OR(R198=$AA$4,R198=""),OR(R199=$AA$4,R199=""),OR(I205&lt;=$H$14,I205=""),OR(I206&lt;=$H$14,I206=""),OR(I207&lt;=$H$14,I207=""),OR(I208&lt;=$H$14,I208="")),"Les échantillons sont stables", "Les échantillons ne sont pas stables;remplacer par d'autre résultats"))</f>
        <v/>
      </c>
      <c r="J214" s="987" t="str">
        <f t="shared" ref="J214" si="110">IF(J189="","",IF(AND(OR(S189=$AA$4,S189=""),OR(S190=$AA$4,S190=""),OR(S191=$AA$4,S191=""),OR(S192=$AA$4,S192=""),OR(S196=$AA$4,S196=""),OR(S197=$AA$4,S197=""),OR(S198=$AA$4,S198=""),OR(S199=$AA$4,S199=""),OR(J205&lt;=$H$14,J205=""),OR(J206&lt;=$H$14,J206=""),OR(J207&lt;=$H$14,J207=""),OR(J208&lt;=$H$14,J208="")),"Les échantillons sont stables", "Les échantillons ne sont pas stables;remplacer par d'autre résultats"))</f>
        <v/>
      </c>
      <c r="K214" s="987" t="str">
        <f t="shared" ref="K214" si="111">IF(K189="","",IF(AND(OR(T189=$AA$4,T189=""),OR(T190=$AA$4,T190=""),OR(T191=$AA$4,T191=""),OR(T192=$AA$4,T192=""),OR(T196=$AA$4,T196=""),OR(T197=$AA$4,T197=""),OR(T198=$AA$4,T198=""),OR(T199=$AA$4,T199=""),OR(K205&lt;=$H$14,K205=""),OR(K206&lt;=$H$14,K206=""),OR(K207&lt;=$H$14,K207=""),OR(K208&lt;=$H$14,K208="")),"Les échantillons sont stables", "Les échantillons ne sont pas stables;remplacer par d'autre résultats"))</f>
        <v/>
      </c>
      <c r="L214" s="987" t="str">
        <f t="shared" ref="L214" si="112">IF(L189="","",IF(AND(OR(U189=$AA$4,U189=""),OR(U190=$AA$4,U190=""),OR(U191=$AA$4,U191=""),OR(U192=$AA$4,U192=""),OR(U196=$AA$4,U196=""),OR(U197=$AA$4,U197=""),OR(U198=$AA$4,U198=""),OR(U199=$AA$4,U199=""),OR(L205&lt;=$H$14,L205=""),OR(L206&lt;=$H$14,L206=""),OR(L207&lt;=$H$14,L207=""),OR(L208&lt;=$H$14,L208="")),"Les échantillons sont stables", "Les échantillons ne sont pas stables;remplacer par d'autre résultats"))</f>
        <v/>
      </c>
      <c r="M214" s="987" t="str">
        <f t="shared" ref="M214" si="113">IF(M189="","",IF(AND(OR(V189=$AA$4,V189=""),OR(V190=$AA$4,V190=""),OR(V191=$AA$4,V191=""),OR(V192=$AA$4,V192=""),OR(V196=$AA$4,V196=""),OR(V197=$AA$4,V197=""),OR(V198=$AA$4,V198=""),OR(V199=$AA$4,V199=""),OR(M205&lt;=$H$14,M205=""),OR(M206&lt;=$H$14,M206=""),OR(M207&lt;=$H$14,M207=""),OR(M208&lt;=$H$14,M208="")),"Les échantillons sont stables", "Les échantillons ne sont pas stables;remplacer par d'autre résultats"))</f>
        <v/>
      </c>
      <c r="N214" s="989" t="str">
        <f>IF(N189="","",IF(AND(OR(W189=$AA$4,W189=""),OR(W190=$AA$4,W190=""),OR(W191=$AA$4,W191=""),OR(W192=$AA$4,W192=""),OR(W196=$AA$4,W196=""),OR(W197=$AA$4,W197=""),OR(W198=$AA$4,W198=""),OR(W199=$AA$4,W199=""),OR(N205&lt;=$H$14,N205=""),OR(N206&lt;=$H$14,N206=""),OR(N207&lt;=$H$14,N207=""),OR(N208&lt;=$H$14,N208="")),"Les échantillons sont stables", "Les échantillons ne sont pas stables;remplacer par d'autre résultats"))</f>
        <v/>
      </c>
      <c r="O214" s="142"/>
      <c r="P214" s="142"/>
      <c r="Q214" s="142"/>
      <c r="R214" s="142"/>
      <c r="S214" s="142"/>
      <c r="T214" s="142"/>
      <c r="U214" s="142"/>
      <c r="V214" s="142"/>
      <c r="W214" s="142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35"/>
      <c r="AJ214" s="35"/>
      <c r="AK214" s="35"/>
      <c r="AL214" s="35"/>
    </row>
    <row r="215" spans="1:38" ht="36" customHeight="1" x14ac:dyDescent="0.25">
      <c r="A215" s="33"/>
      <c r="B215" s="939"/>
      <c r="C215" s="940"/>
      <c r="D215" s="940"/>
      <c r="E215" s="940"/>
      <c r="F215" s="987"/>
      <c r="G215" s="987"/>
      <c r="H215" s="987"/>
      <c r="I215" s="987"/>
      <c r="J215" s="987"/>
      <c r="K215" s="987"/>
      <c r="L215" s="987"/>
      <c r="M215" s="987"/>
      <c r="N215" s="989"/>
      <c r="O215" s="142"/>
      <c r="P215" s="142"/>
      <c r="Q215" s="142"/>
      <c r="R215" s="142"/>
      <c r="S215" s="142"/>
      <c r="T215" s="142"/>
      <c r="U215" s="142"/>
      <c r="V215" s="142"/>
      <c r="W215" s="142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35"/>
      <c r="AJ215" s="35"/>
      <c r="AK215" s="35"/>
      <c r="AL215" s="35"/>
    </row>
    <row r="216" spans="1:38" ht="34.5" customHeight="1" x14ac:dyDescent="0.25">
      <c r="A216" s="33"/>
      <c r="B216" s="939"/>
      <c r="C216" s="940"/>
      <c r="D216" s="940"/>
      <c r="E216" s="940"/>
      <c r="F216" s="987"/>
      <c r="G216" s="987"/>
      <c r="H216" s="987"/>
      <c r="I216" s="987"/>
      <c r="J216" s="987"/>
      <c r="K216" s="987"/>
      <c r="L216" s="987"/>
      <c r="M216" s="987"/>
      <c r="N216" s="989"/>
      <c r="O216" s="142"/>
      <c r="P216" s="142"/>
      <c r="Q216" s="142"/>
      <c r="R216" s="142"/>
      <c r="S216" s="142"/>
      <c r="T216" s="142"/>
      <c r="U216" s="142"/>
      <c r="V216" s="142"/>
      <c r="W216" s="142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35"/>
      <c r="AJ216" s="35"/>
      <c r="AK216" s="35"/>
      <c r="AL216" s="35"/>
    </row>
    <row r="217" spans="1:38" ht="34.5" customHeight="1" thickBot="1" x14ac:dyDescent="0.3">
      <c r="A217" s="33"/>
      <c r="B217" s="1011" t="s">
        <v>228</v>
      </c>
      <c r="C217" s="1012"/>
      <c r="D217" s="1012"/>
      <c r="E217" s="1012"/>
      <c r="F217" s="129"/>
      <c r="G217" s="129"/>
      <c r="H217" s="129"/>
      <c r="I217" s="129"/>
      <c r="J217" s="129"/>
      <c r="K217" s="129"/>
      <c r="L217" s="129"/>
      <c r="M217" s="129"/>
      <c r="N217" s="130"/>
      <c r="O217" s="142"/>
      <c r="P217" s="142"/>
      <c r="Q217" s="142"/>
      <c r="R217" s="142"/>
      <c r="S217" s="142"/>
      <c r="T217" s="142"/>
      <c r="U217" s="142"/>
      <c r="V217" s="142"/>
      <c r="W217" s="142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35"/>
      <c r="AJ217" s="35"/>
      <c r="AK217" s="35"/>
      <c r="AL217" s="35"/>
    </row>
    <row r="218" spans="1:38" ht="23.25" customHeight="1" x14ac:dyDescent="0.25">
      <c r="A218" s="33"/>
      <c r="B218" s="84"/>
      <c r="C218" s="84"/>
      <c r="D218" s="84"/>
      <c r="E218" s="84"/>
      <c r="F218" s="151"/>
      <c r="G218" s="151"/>
      <c r="H218" s="151"/>
      <c r="I218" s="151"/>
      <c r="J218" s="151"/>
      <c r="K218" s="151"/>
      <c r="L218" s="151"/>
      <c r="M218" s="151"/>
      <c r="N218" s="151"/>
      <c r="O218" s="142"/>
      <c r="P218" s="142"/>
      <c r="Q218" s="142"/>
      <c r="R218" s="142"/>
      <c r="S218" s="142"/>
      <c r="T218" s="142"/>
      <c r="U218" s="142"/>
      <c r="V218" s="142"/>
      <c r="W218" s="142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35"/>
      <c r="AJ218" s="35"/>
      <c r="AK218" s="35"/>
      <c r="AL218" s="35"/>
    </row>
    <row r="219" spans="1:38" ht="23.25" customHeight="1" thickBot="1" x14ac:dyDescent="0.3">
      <c r="A219" s="33"/>
      <c r="B219" s="84"/>
      <c r="C219" s="84"/>
      <c r="D219" s="84"/>
      <c r="E219" s="84"/>
      <c r="F219" s="151"/>
      <c r="G219" s="151"/>
      <c r="H219" s="151"/>
      <c r="I219" s="151"/>
      <c r="J219" s="151"/>
      <c r="K219" s="151"/>
      <c r="L219" s="151"/>
      <c r="M219" s="151"/>
      <c r="N219" s="151"/>
      <c r="O219" s="142"/>
      <c r="P219" s="142"/>
      <c r="Q219" s="142"/>
      <c r="R219" s="142"/>
      <c r="S219" s="142"/>
      <c r="T219" s="142"/>
      <c r="U219" s="142"/>
      <c r="V219" s="142"/>
      <c r="W219" s="142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35"/>
      <c r="AJ219" s="35"/>
      <c r="AK219" s="35"/>
      <c r="AL219" s="35"/>
    </row>
    <row r="220" spans="1:38" ht="23.25" customHeight="1" thickBot="1" x14ac:dyDescent="0.3">
      <c r="A220" s="33"/>
      <c r="B220" s="1005" t="s">
        <v>190</v>
      </c>
      <c r="C220" s="1006"/>
      <c r="D220" s="1006"/>
      <c r="E220" s="1006"/>
      <c r="F220" s="1006"/>
      <c r="G220" s="1006"/>
      <c r="H220" s="1006"/>
      <c r="I220" s="1006"/>
      <c r="J220" s="1007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35"/>
      <c r="AJ220" s="35"/>
      <c r="AK220" s="35"/>
      <c r="AL220" s="35"/>
    </row>
    <row r="221" spans="1:38" ht="23.25" customHeight="1" x14ac:dyDescent="0.25">
      <c r="A221" s="33"/>
      <c r="B221" s="824" t="s">
        <v>28</v>
      </c>
      <c r="C221" s="825"/>
      <c r="D221" s="825" t="s">
        <v>122</v>
      </c>
      <c r="E221" s="825"/>
      <c r="F221" s="828" t="s">
        <v>0</v>
      </c>
      <c r="G221" s="828"/>
      <c r="H221" s="828"/>
      <c r="I221" s="828"/>
      <c r="J221" s="828"/>
      <c r="K221" s="828"/>
      <c r="L221" s="828"/>
      <c r="M221" s="828"/>
      <c r="N221" s="828"/>
      <c r="O221" s="828" t="s">
        <v>123</v>
      </c>
      <c r="P221" s="828"/>
      <c r="Q221" s="828"/>
      <c r="R221" s="828"/>
      <c r="S221" s="828"/>
      <c r="T221" s="828"/>
      <c r="U221" s="828"/>
      <c r="V221" s="828"/>
      <c r="W221" s="874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35"/>
      <c r="AJ221" s="35"/>
      <c r="AK221" s="35"/>
      <c r="AL221" s="35"/>
    </row>
    <row r="222" spans="1:38" ht="23.25" customHeight="1" x14ac:dyDescent="0.25">
      <c r="A222" s="33"/>
      <c r="B222" s="826"/>
      <c r="C222" s="827"/>
      <c r="D222" s="827"/>
      <c r="E222" s="827"/>
      <c r="F222" s="827" t="s">
        <v>175</v>
      </c>
      <c r="G222" s="827" t="s">
        <v>176</v>
      </c>
      <c r="H222" s="827" t="s">
        <v>177</v>
      </c>
      <c r="I222" s="827" t="s">
        <v>178</v>
      </c>
      <c r="J222" s="827" t="s">
        <v>179</v>
      </c>
      <c r="K222" s="827" t="s">
        <v>180</v>
      </c>
      <c r="L222" s="827" t="s">
        <v>181</v>
      </c>
      <c r="M222" s="827" t="s">
        <v>182</v>
      </c>
      <c r="N222" s="827" t="s">
        <v>183</v>
      </c>
      <c r="O222" s="827" t="s">
        <v>175</v>
      </c>
      <c r="P222" s="827" t="s">
        <v>176</v>
      </c>
      <c r="Q222" s="827" t="s">
        <v>177</v>
      </c>
      <c r="R222" s="827" t="s">
        <v>178</v>
      </c>
      <c r="S222" s="827" t="s">
        <v>179</v>
      </c>
      <c r="T222" s="827" t="s">
        <v>180</v>
      </c>
      <c r="U222" s="827" t="s">
        <v>181</v>
      </c>
      <c r="V222" s="827" t="s">
        <v>182</v>
      </c>
      <c r="W222" s="1004" t="s">
        <v>183</v>
      </c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35"/>
      <c r="AJ222" s="35"/>
      <c r="AK222" s="35"/>
      <c r="AL222" s="35"/>
    </row>
    <row r="223" spans="1:38" ht="23.25" customHeight="1" x14ac:dyDescent="0.25">
      <c r="A223" s="33"/>
      <c r="B223" s="826"/>
      <c r="C223" s="827"/>
      <c r="D223" s="827"/>
      <c r="E223" s="827"/>
      <c r="F223" s="827"/>
      <c r="G223" s="827"/>
      <c r="H223" s="827"/>
      <c r="I223" s="827"/>
      <c r="J223" s="827"/>
      <c r="K223" s="827"/>
      <c r="L223" s="827"/>
      <c r="M223" s="827"/>
      <c r="N223" s="827"/>
      <c r="O223" s="827"/>
      <c r="P223" s="827"/>
      <c r="Q223" s="827"/>
      <c r="R223" s="827"/>
      <c r="S223" s="827"/>
      <c r="T223" s="827"/>
      <c r="U223" s="827"/>
      <c r="V223" s="827"/>
      <c r="W223" s="1004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35"/>
      <c r="AJ223" s="35"/>
      <c r="AK223" s="35"/>
      <c r="AL223" s="35"/>
    </row>
    <row r="224" spans="1:38" ht="23.25" customHeight="1" x14ac:dyDescent="0.25">
      <c r="A224" s="33"/>
      <c r="B224" s="746"/>
      <c r="C224" s="745"/>
      <c r="D224" s="745"/>
      <c r="E224" s="745"/>
      <c r="F224" s="127"/>
      <c r="G224" s="127"/>
      <c r="H224" s="127"/>
      <c r="I224" s="127"/>
      <c r="J224" s="127"/>
      <c r="K224" s="127"/>
      <c r="L224" s="127"/>
      <c r="M224" s="127"/>
      <c r="N224" s="127"/>
      <c r="O224" s="131" t="str">
        <f>IF(F224="","",IF(ABS(F224-$I$13)&gt;$H$14,"NOT OK", "OK"))</f>
        <v/>
      </c>
      <c r="P224" s="131" t="str">
        <f>IF(G224="","",IF(ABS(G224-$J$13)&gt;$H$14,"NOT OK", "OK"))</f>
        <v/>
      </c>
      <c r="Q224" s="131" t="str">
        <f>IF(H224="","",IF(ABS(H224-$K$13)&gt;$H$14,"NOT OK", "OK"))</f>
        <v/>
      </c>
      <c r="R224" s="131" t="str">
        <f>IF(I224="","",IF(ABS(I224-$L$13)&gt;$H$14,"NOT OK", "OK"))</f>
        <v/>
      </c>
      <c r="S224" s="131" t="str">
        <f>IF(J224="","",IF(ABS(J224-$M$13)&gt;$H$14,"NOT OK", "OK"))</f>
        <v/>
      </c>
      <c r="T224" s="131" t="str">
        <f>IF(K224="","",IF(ABS(K224-$N$13)&gt;$H$14,"NOT OK", "OK"))</f>
        <v/>
      </c>
      <c r="U224" s="131" t="str">
        <f>IF(L224="","",IF(ABS(L224-$O$13)&gt;$H$14,"NOT OK", "OK"))</f>
        <v/>
      </c>
      <c r="V224" s="131" t="str">
        <f>IF(M224="","",IF(ABS(M224-$P$13)&gt;$H$14,"NOT OK", "OK"))</f>
        <v/>
      </c>
      <c r="W224" s="132" t="str">
        <f>IF(N224="","",IF(ABS(N224-$Q$13)&gt;$H$14,"NOT OK", "OK"))</f>
        <v/>
      </c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35"/>
      <c r="AJ224" s="35"/>
      <c r="AK224" s="35"/>
      <c r="AL224" s="35"/>
    </row>
    <row r="225" spans="1:38" ht="23.25" customHeight="1" x14ac:dyDescent="0.25">
      <c r="A225" s="33"/>
      <c r="B225" s="746"/>
      <c r="C225" s="745"/>
      <c r="D225" s="745"/>
      <c r="E225" s="745"/>
      <c r="F225" s="127"/>
      <c r="G225" s="127"/>
      <c r="H225" s="127"/>
      <c r="I225" s="127"/>
      <c r="J225" s="127"/>
      <c r="K225" s="127"/>
      <c r="L225" s="127"/>
      <c r="M225" s="127"/>
      <c r="N225" s="127"/>
      <c r="O225" s="131" t="str">
        <f t="shared" ref="O225:O227" si="114">IF(F225="","",IF(ABS(F225-$I$13)&gt;$H$14,"NOT OK", "OK"))</f>
        <v/>
      </c>
      <c r="P225" s="131" t="str">
        <f t="shared" ref="P225:P227" si="115">IF(G225="","",IF(ABS(G225-$J$13)&gt;$H$14,"NOT OK", "OK"))</f>
        <v/>
      </c>
      <c r="Q225" s="131" t="str">
        <f t="shared" ref="Q225:Q227" si="116">IF(H225="","",IF(ABS(H225-$K$13)&gt;$H$14,"NOT OK", "OK"))</f>
        <v/>
      </c>
      <c r="R225" s="131" t="str">
        <f t="shared" ref="R225:R227" si="117">IF(I225="","",IF(ABS(I225-$L$13)&gt;$H$14,"NOT OK", "OK"))</f>
        <v/>
      </c>
      <c r="S225" s="131" t="str">
        <f t="shared" ref="S225:S227" si="118">IF(J225="","",IF(ABS(J225-$M$13)&gt;$H$14,"NOT OK", "OK"))</f>
        <v/>
      </c>
      <c r="T225" s="131" t="str">
        <f t="shared" ref="T225:T227" si="119">IF(K225="","",IF(ABS(K225-$N$13)&gt;$H$14,"NOT OK", "OK"))</f>
        <v/>
      </c>
      <c r="U225" s="131" t="str">
        <f t="shared" ref="U225:U227" si="120">IF(L225="","",IF(ABS(L225-$O$13)&gt;$H$14,"NOT OK", "OK"))</f>
        <v/>
      </c>
      <c r="V225" s="131" t="str">
        <f t="shared" ref="V225:V227" si="121">IF(M225="","",IF(ABS(M225-$P$13)&gt;$H$14,"NOT OK", "OK"))</f>
        <v/>
      </c>
      <c r="W225" s="132" t="str">
        <f t="shared" ref="W225:W227" si="122">IF(N225="","",IF(ABS(N225-$Q$13)&gt;$H$14,"NOT OK", "OK"))</f>
        <v/>
      </c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35"/>
      <c r="AJ225" s="35"/>
      <c r="AK225" s="35"/>
      <c r="AL225" s="35"/>
    </row>
    <row r="226" spans="1:38" ht="23.25" customHeight="1" x14ac:dyDescent="0.25">
      <c r="A226" s="33"/>
      <c r="B226" s="746"/>
      <c r="C226" s="745"/>
      <c r="D226" s="745"/>
      <c r="E226" s="745"/>
      <c r="F226" s="127"/>
      <c r="G226" s="127"/>
      <c r="H226" s="127"/>
      <c r="I226" s="127"/>
      <c r="J226" s="127"/>
      <c r="K226" s="127"/>
      <c r="L226" s="127"/>
      <c r="M226" s="127"/>
      <c r="N226" s="127"/>
      <c r="O226" s="131" t="str">
        <f t="shared" si="114"/>
        <v/>
      </c>
      <c r="P226" s="131" t="str">
        <f t="shared" si="115"/>
        <v/>
      </c>
      <c r="Q226" s="131" t="str">
        <f t="shared" si="116"/>
        <v/>
      </c>
      <c r="R226" s="131" t="str">
        <f t="shared" si="117"/>
        <v/>
      </c>
      <c r="S226" s="131" t="str">
        <f t="shared" si="118"/>
        <v/>
      </c>
      <c r="T226" s="131" t="str">
        <f t="shared" si="119"/>
        <v/>
      </c>
      <c r="U226" s="131" t="str">
        <f t="shared" si="120"/>
        <v/>
      </c>
      <c r="V226" s="131" t="str">
        <f t="shared" si="121"/>
        <v/>
      </c>
      <c r="W226" s="132" t="str">
        <f t="shared" si="122"/>
        <v/>
      </c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35"/>
      <c r="AJ226" s="35"/>
      <c r="AK226" s="35"/>
      <c r="AL226" s="35"/>
    </row>
    <row r="227" spans="1:38" ht="23.25" customHeight="1" x14ac:dyDescent="0.25">
      <c r="A227" s="33"/>
      <c r="B227" s="746"/>
      <c r="C227" s="745"/>
      <c r="D227" s="745"/>
      <c r="E227" s="745"/>
      <c r="F227" s="127"/>
      <c r="G227" s="127"/>
      <c r="H227" s="127"/>
      <c r="I227" s="127"/>
      <c r="J227" s="127"/>
      <c r="K227" s="127"/>
      <c r="L227" s="127"/>
      <c r="M227" s="127"/>
      <c r="N227" s="127"/>
      <c r="O227" s="131" t="str">
        <f t="shared" si="114"/>
        <v/>
      </c>
      <c r="P227" s="131" t="str">
        <f t="shared" si="115"/>
        <v/>
      </c>
      <c r="Q227" s="131" t="str">
        <f t="shared" si="116"/>
        <v/>
      </c>
      <c r="R227" s="131" t="str">
        <f t="shared" si="117"/>
        <v/>
      </c>
      <c r="S227" s="131" t="str">
        <f t="shared" si="118"/>
        <v/>
      </c>
      <c r="T227" s="131" t="str">
        <f t="shared" si="119"/>
        <v/>
      </c>
      <c r="U227" s="131" t="str">
        <f t="shared" si="120"/>
        <v/>
      </c>
      <c r="V227" s="131" t="str">
        <f t="shared" si="121"/>
        <v/>
      </c>
      <c r="W227" s="132" t="str">
        <f t="shared" si="122"/>
        <v/>
      </c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35"/>
      <c r="AJ227" s="35"/>
      <c r="AK227" s="35"/>
      <c r="AL227" s="35"/>
    </row>
    <row r="228" spans="1:38" ht="23.25" customHeight="1" x14ac:dyDescent="0.25">
      <c r="A228" s="33"/>
      <c r="B228" s="826" t="s">
        <v>28</v>
      </c>
      <c r="C228" s="827"/>
      <c r="D228" s="827" t="s">
        <v>185</v>
      </c>
      <c r="E228" s="827"/>
      <c r="F228" s="829" t="s">
        <v>1</v>
      </c>
      <c r="G228" s="829"/>
      <c r="H228" s="829"/>
      <c r="I228" s="829"/>
      <c r="J228" s="829"/>
      <c r="K228" s="829"/>
      <c r="L228" s="829"/>
      <c r="M228" s="829"/>
      <c r="N228" s="829"/>
      <c r="O228" s="829" t="s">
        <v>124</v>
      </c>
      <c r="P228" s="829"/>
      <c r="Q228" s="829"/>
      <c r="R228" s="829"/>
      <c r="S228" s="829"/>
      <c r="T228" s="829"/>
      <c r="U228" s="829"/>
      <c r="V228" s="829"/>
      <c r="W228" s="875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35"/>
      <c r="AJ228" s="35"/>
      <c r="AK228" s="35"/>
      <c r="AL228" s="35"/>
    </row>
    <row r="229" spans="1:38" ht="23.25" customHeight="1" x14ac:dyDescent="0.25">
      <c r="A229" s="33"/>
      <c r="B229" s="826"/>
      <c r="C229" s="827"/>
      <c r="D229" s="827"/>
      <c r="E229" s="827"/>
      <c r="F229" s="827" t="s">
        <v>175</v>
      </c>
      <c r="G229" s="827" t="s">
        <v>176</v>
      </c>
      <c r="H229" s="827" t="s">
        <v>177</v>
      </c>
      <c r="I229" s="827" t="s">
        <v>178</v>
      </c>
      <c r="J229" s="827" t="s">
        <v>179</v>
      </c>
      <c r="K229" s="827" t="s">
        <v>180</v>
      </c>
      <c r="L229" s="827" t="s">
        <v>181</v>
      </c>
      <c r="M229" s="827" t="s">
        <v>182</v>
      </c>
      <c r="N229" s="827" t="s">
        <v>183</v>
      </c>
      <c r="O229" s="827" t="s">
        <v>175</v>
      </c>
      <c r="P229" s="827" t="s">
        <v>176</v>
      </c>
      <c r="Q229" s="827" t="s">
        <v>177</v>
      </c>
      <c r="R229" s="827" t="s">
        <v>178</v>
      </c>
      <c r="S229" s="827" t="s">
        <v>179</v>
      </c>
      <c r="T229" s="827" t="s">
        <v>180</v>
      </c>
      <c r="U229" s="827" t="s">
        <v>181</v>
      </c>
      <c r="V229" s="827" t="s">
        <v>182</v>
      </c>
      <c r="W229" s="1004" t="s">
        <v>183</v>
      </c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35"/>
      <c r="AJ229" s="35"/>
      <c r="AK229" s="35"/>
      <c r="AL229" s="35"/>
    </row>
    <row r="230" spans="1:38" ht="23.25" customHeight="1" x14ac:dyDescent="0.25">
      <c r="A230" s="33"/>
      <c r="B230" s="826"/>
      <c r="C230" s="827"/>
      <c r="D230" s="827"/>
      <c r="E230" s="827"/>
      <c r="F230" s="827"/>
      <c r="G230" s="827"/>
      <c r="H230" s="827"/>
      <c r="I230" s="827"/>
      <c r="J230" s="827"/>
      <c r="K230" s="827"/>
      <c r="L230" s="827"/>
      <c r="M230" s="827"/>
      <c r="N230" s="827"/>
      <c r="O230" s="827"/>
      <c r="P230" s="827"/>
      <c r="Q230" s="827"/>
      <c r="R230" s="827"/>
      <c r="S230" s="827"/>
      <c r="T230" s="827"/>
      <c r="U230" s="827"/>
      <c r="V230" s="827"/>
      <c r="W230" s="1004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35"/>
      <c r="AJ230" s="35"/>
      <c r="AK230" s="35"/>
      <c r="AL230" s="35"/>
    </row>
    <row r="231" spans="1:38" ht="23.25" customHeight="1" x14ac:dyDescent="0.25">
      <c r="A231" s="33"/>
      <c r="B231" s="746"/>
      <c r="C231" s="745"/>
      <c r="D231" s="745"/>
      <c r="E231" s="745"/>
      <c r="F231" s="127"/>
      <c r="G231" s="127"/>
      <c r="H231" s="127"/>
      <c r="I231" s="127"/>
      <c r="J231" s="127"/>
      <c r="K231" s="127"/>
      <c r="L231" s="127"/>
      <c r="M231" s="127"/>
      <c r="N231" s="127"/>
      <c r="O231" s="131" t="str">
        <f>IF(F231="","",IF(ABS(F231-$I$13)&gt;$H$14,"NOT OK", "OK"))</f>
        <v/>
      </c>
      <c r="P231" s="131" t="str">
        <f>IF(G231="","",IF(ABS(G231-$J$13)&gt;$H$14,"NOT OK", "OK"))</f>
        <v/>
      </c>
      <c r="Q231" s="131" t="str">
        <f>IF(H231="","",IF(ABS(H231-$K$13)&gt;$H$14,"NOT OK", "OK"))</f>
        <v/>
      </c>
      <c r="R231" s="131" t="str">
        <f>IF(I231="","",IF(ABS(I231-$L$13)&gt;$H$14,"NOT OK", "OK"))</f>
        <v/>
      </c>
      <c r="S231" s="131" t="str">
        <f>IF(J231="","",IF(ABS(J231-$M$13)&gt;$H$14,"NOT OK", "OK"))</f>
        <v/>
      </c>
      <c r="T231" s="131" t="str">
        <f>IF(K231="","",IF(ABS(K231-$N$13)&gt;$H$14,"NOT OK", "OK"))</f>
        <v/>
      </c>
      <c r="U231" s="131" t="str">
        <f>IF(L231="","",IF(ABS(L231-$O$13)&gt;$H$14,"NOT OK", "OK"))</f>
        <v/>
      </c>
      <c r="V231" s="131" t="str">
        <f>IF(M231="","",IF(ABS(M231-$P$13)&gt;$H$14,"NOT OK", "OK"))</f>
        <v/>
      </c>
      <c r="W231" s="132" t="str">
        <f>IF(N231="","",IF(ABS(N231-$Q$13)&gt;$H$14,"NOT OK", "OK"))</f>
        <v/>
      </c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35"/>
      <c r="AJ231" s="35"/>
      <c r="AK231" s="35"/>
      <c r="AL231" s="35"/>
    </row>
    <row r="232" spans="1:38" ht="23.25" customHeight="1" x14ac:dyDescent="0.25">
      <c r="A232" s="33"/>
      <c r="B232" s="746"/>
      <c r="C232" s="745"/>
      <c r="D232" s="745"/>
      <c r="E232" s="745"/>
      <c r="F232" s="127"/>
      <c r="G232" s="127"/>
      <c r="H232" s="127"/>
      <c r="I232" s="127"/>
      <c r="J232" s="127"/>
      <c r="K232" s="127"/>
      <c r="L232" s="127"/>
      <c r="M232" s="127"/>
      <c r="N232" s="127"/>
      <c r="O232" s="131" t="str">
        <f t="shared" ref="O232:O234" si="123">IF(F232="","",IF(ABS(F232-$I$13)&gt;$H$14,"NOT OK", "OK"))</f>
        <v/>
      </c>
      <c r="P232" s="131" t="str">
        <f t="shared" ref="P232:P234" si="124">IF(G232="","",IF(ABS(G232-$J$13)&gt;$H$14,"NOT OK", "OK"))</f>
        <v/>
      </c>
      <c r="Q232" s="131" t="str">
        <f t="shared" ref="Q232:Q234" si="125">IF(H232="","",IF(ABS(H232-$K$13)&gt;$H$14,"NOT OK", "OK"))</f>
        <v/>
      </c>
      <c r="R232" s="131" t="str">
        <f t="shared" ref="R232:R234" si="126">IF(I232="","",IF(ABS(I232-$L$13)&gt;$H$14,"NOT OK", "OK"))</f>
        <v/>
      </c>
      <c r="S232" s="131" t="str">
        <f t="shared" ref="S232:S234" si="127">IF(J232="","",IF(ABS(J232-$M$13)&gt;$H$14,"NOT OK", "OK"))</f>
        <v/>
      </c>
      <c r="T232" s="131" t="str">
        <f t="shared" ref="T232:T234" si="128">IF(K232="","",IF(ABS(K232-$N$13)&gt;$H$14,"NOT OK", "OK"))</f>
        <v/>
      </c>
      <c r="U232" s="131" t="str">
        <f t="shared" ref="U232:U234" si="129">IF(L232="","",IF(ABS(L232-$O$13)&gt;$H$14,"NOT OK", "OK"))</f>
        <v/>
      </c>
      <c r="V232" s="131" t="str">
        <f t="shared" ref="V232:V234" si="130">IF(M232="","",IF(ABS(M232-$P$13)&gt;$H$14,"NOT OK", "OK"))</f>
        <v/>
      </c>
      <c r="W232" s="132" t="str">
        <f t="shared" ref="W232:W234" si="131">IF(N232="","",IF(ABS(N232-$Q$13)&gt;$H$14,"NOT OK", "OK"))</f>
        <v/>
      </c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35"/>
      <c r="AJ232" s="35"/>
      <c r="AK232" s="35"/>
      <c r="AL232" s="35"/>
    </row>
    <row r="233" spans="1:38" ht="23.25" customHeight="1" x14ac:dyDescent="0.25">
      <c r="A233" s="33"/>
      <c r="B233" s="746"/>
      <c r="C233" s="745"/>
      <c r="D233" s="745"/>
      <c r="E233" s="745"/>
      <c r="F233" s="127"/>
      <c r="G233" s="127"/>
      <c r="H233" s="127"/>
      <c r="I233" s="127"/>
      <c r="J233" s="127"/>
      <c r="K233" s="127"/>
      <c r="L233" s="127"/>
      <c r="M233" s="127"/>
      <c r="N233" s="127"/>
      <c r="O233" s="131" t="str">
        <f t="shared" si="123"/>
        <v/>
      </c>
      <c r="P233" s="131" t="str">
        <f t="shared" si="124"/>
        <v/>
      </c>
      <c r="Q233" s="131" t="str">
        <f t="shared" si="125"/>
        <v/>
      </c>
      <c r="R233" s="131" t="str">
        <f t="shared" si="126"/>
        <v/>
      </c>
      <c r="S233" s="131" t="str">
        <f t="shared" si="127"/>
        <v/>
      </c>
      <c r="T233" s="131" t="str">
        <f t="shared" si="128"/>
        <v/>
      </c>
      <c r="U233" s="131" t="str">
        <f t="shared" si="129"/>
        <v/>
      </c>
      <c r="V233" s="131" t="str">
        <f t="shared" si="130"/>
        <v/>
      </c>
      <c r="W233" s="132" t="str">
        <f t="shared" si="131"/>
        <v/>
      </c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35"/>
      <c r="AJ233" s="35"/>
      <c r="AK233" s="35"/>
      <c r="AL233" s="35"/>
    </row>
    <row r="234" spans="1:38" ht="23.25" customHeight="1" thickBot="1" x14ac:dyDescent="0.3">
      <c r="A234" s="33"/>
      <c r="B234" s="805"/>
      <c r="C234" s="806"/>
      <c r="D234" s="806"/>
      <c r="E234" s="806"/>
      <c r="F234" s="128"/>
      <c r="G234" s="128"/>
      <c r="H234" s="128"/>
      <c r="I234" s="128"/>
      <c r="J234" s="128"/>
      <c r="K234" s="128"/>
      <c r="L234" s="128"/>
      <c r="M234" s="128"/>
      <c r="N234" s="128"/>
      <c r="O234" s="133" t="str">
        <f t="shared" si="123"/>
        <v/>
      </c>
      <c r="P234" s="133" t="str">
        <f t="shared" si="124"/>
        <v/>
      </c>
      <c r="Q234" s="133" t="str">
        <f t="shared" si="125"/>
        <v/>
      </c>
      <c r="R234" s="133" t="str">
        <f t="shared" si="126"/>
        <v/>
      </c>
      <c r="S234" s="133" t="str">
        <f t="shared" si="127"/>
        <v/>
      </c>
      <c r="T234" s="133" t="str">
        <f t="shared" si="128"/>
        <v/>
      </c>
      <c r="U234" s="133" t="str">
        <f t="shared" si="129"/>
        <v/>
      </c>
      <c r="V234" s="133" t="str">
        <f t="shared" si="130"/>
        <v/>
      </c>
      <c r="W234" s="134" t="str">
        <f t="shared" si="131"/>
        <v/>
      </c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35"/>
      <c r="AJ234" s="35"/>
      <c r="AK234" s="35"/>
      <c r="AL234" s="35"/>
    </row>
    <row r="235" spans="1:38" ht="23.25" customHeight="1" x14ac:dyDescent="0.25">
      <c r="A235" s="33"/>
      <c r="B235" s="4"/>
      <c r="C235" s="4"/>
      <c r="D235" s="4"/>
      <c r="E235" s="4"/>
      <c r="F235" s="17"/>
      <c r="G235" s="17"/>
      <c r="H235" s="17"/>
      <c r="I235" s="17"/>
      <c r="J235" s="17"/>
      <c r="K235" s="17"/>
      <c r="L235" s="17"/>
      <c r="M235" s="17"/>
      <c r="N235" s="17"/>
      <c r="O235" s="142"/>
      <c r="P235" s="142"/>
      <c r="Q235" s="142"/>
      <c r="R235" s="142"/>
      <c r="S235" s="142"/>
      <c r="T235" s="142"/>
      <c r="U235" s="142"/>
      <c r="V235" s="142"/>
      <c r="W235" s="142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35"/>
      <c r="AJ235" s="35"/>
      <c r="AK235" s="35"/>
      <c r="AL235" s="35"/>
    </row>
    <row r="236" spans="1:38" ht="23.25" customHeight="1" thickBot="1" x14ac:dyDescent="0.3">
      <c r="A236" s="33"/>
      <c r="B236" s="4"/>
      <c r="C236" s="4"/>
      <c r="D236" s="4"/>
      <c r="E236" s="4"/>
      <c r="F236" s="17"/>
      <c r="G236" s="17"/>
      <c r="H236" s="17"/>
      <c r="I236" s="17"/>
      <c r="J236" s="17"/>
      <c r="K236" s="17"/>
      <c r="L236" s="17"/>
      <c r="M236" s="17"/>
      <c r="N236" s="17"/>
      <c r="O236" s="142"/>
      <c r="P236" s="142"/>
      <c r="Q236" s="142"/>
      <c r="R236" s="142"/>
      <c r="S236" s="142"/>
      <c r="T236" s="142"/>
      <c r="U236" s="142"/>
      <c r="V236" s="142"/>
      <c r="W236" s="142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35"/>
      <c r="AJ236" s="35"/>
      <c r="AK236" s="35"/>
      <c r="AL236" s="35"/>
    </row>
    <row r="237" spans="1:38" ht="23.25" customHeight="1" x14ac:dyDescent="0.25">
      <c r="A237" s="33"/>
      <c r="B237" s="4"/>
      <c r="C237" s="4"/>
      <c r="D237" s="4"/>
      <c r="E237" s="4"/>
      <c r="F237" s="863" t="s">
        <v>184</v>
      </c>
      <c r="G237" s="828"/>
      <c r="H237" s="828"/>
      <c r="I237" s="828"/>
      <c r="J237" s="828"/>
      <c r="K237" s="828"/>
      <c r="L237" s="828"/>
      <c r="M237" s="828"/>
      <c r="N237" s="874"/>
      <c r="O237" s="142"/>
      <c r="P237" s="142"/>
      <c r="Q237" s="142"/>
      <c r="R237" s="142"/>
      <c r="S237" s="142"/>
      <c r="T237" s="142"/>
      <c r="U237" s="142"/>
      <c r="V237" s="142"/>
      <c r="W237" s="142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35"/>
      <c r="AJ237" s="35"/>
      <c r="AK237" s="35"/>
      <c r="AL237" s="35"/>
    </row>
    <row r="238" spans="1:38" ht="23.25" customHeight="1" x14ac:dyDescent="0.25">
      <c r="A238" s="33"/>
      <c r="B238" s="4"/>
      <c r="C238" s="4"/>
      <c r="D238" s="4"/>
      <c r="E238" s="4"/>
      <c r="F238" s="826" t="s">
        <v>175</v>
      </c>
      <c r="G238" s="827" t="s">
        <v>176</v>
      </c>
      <c r="H238" s="827" t="s">
        <v>177</v>
      </c>
      <c r="I238" s="827" t="s">
        <v>178</v>
      </c>
      <c r="J238" s="827" t="s">
        <v>179</v>
      </c>
      <c r="K238" s="827" t="s">
        <v>180</v>
      </c>
      <c r="L238" s="827" t="s">
        <v>181</v>
      </c>
      <c r="M238" s="827" t="s">
        <v>182</v>
      </c>
      <c r="N238" s="1004" t="s">
        <v>183</v>
      </c>
      <c r="O238" s="142"/>
      <c r="P238" s="142"/>
      <c r="Q238" s="142"/>
      <c r="R238" s="142"/>
      <c r="S238" s="142"/>
      <c r="T238" s="142"/>
      <c r="U238" s="142"/>
      <c r="V238" s="142"/>
      <c r="W238" s="142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35"/>
      <c r="AJ238" s="35"/>
      <c r="AK238" s="35"/>
      <c r="AL238" s="35"/>
    </row>
    <row r="239" spans="1:38" ht="23.25" customHeight="1" x14ac:dyDescent="0.25">
      <c r="A239" s="33"/>
      <c r="B239" s="4"/>
      <c r="C239" s="4"/>
      <c r="D239" s="4"/>
      <c r="E239" s="4"/>
      <c r="F239" s="826"/>
      <c r="G239" s="827"/>
      <c r="H239" s="827"/>
      <c r="I239" s="827"/>
      <c r="J239" s="827"/>
      <c r="K239" s="827"/>
      <c r="L239" s="827"/>
      <c r="M239" s="827"/>
      <c r="N239" s="1004"/>
      <c r="O239" s="142"/>
      <c r="P239" s="142"/>
      <c r="Q239" s="142"/>
      <c r="R239" s="142"/>
      <c r="S239" s="142"/>
      <c r="T239" s="142"/>
      <c r="U239" s="142"/>
      <c r="V239" s="142"/>
      <c r="W239" s="142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35"/>
      <c r="AJ239" s="35"/>
      <c r="AK239" s="35"/>
      <c r="AL239" s="35"/>
    </row>
    <row r="240" spans="1:38" ht="23.25" customHeight="1" x14ac:dyDescent="0.25">
      <c r="A240" s="33"/>
      <c r="B240" s="4"/>
      <c r="C240" s="4"/>
      <c r="D240" s="4"/>
      <c r="E240" s="4"/>
      <c r="F240" s="135" t="str">
        <f>IF(F224="","",ABS(F224-F231))</f>
        <v/>
      </c>
      <c r="G240" s="136" t="str">
        <f t="shared" ref="G240:N240" si="132">IF(G224="","",ABS(G224-G231))</f>
        <v/>
      </c>
      <c r="H240" s="136" t="str">
        <f t="shared" si="132"/>
        <v/>
      </c>
      <c r="I240" s="136" t="str">
        <f t="shared" si="132"/>
        <v/>
      </c>
      <c r="J240" s="136" t="str">
        <f t="shared" si="132"/>
        <v/>
      </c>
      <c r="K240" s="136" t="str">
        <f t="shared" si="132"/>
        <v/>
      </c>
      <c r="L240" s="136" t="str">
        <f t="shared" si="132"/>
        <v/>
      </c>
      <c r="M240" s="136" t="str">
        <f t="shared" si="132"/>
        <v/>
      </c>
      <c r="N240" s="137" t="str">
        <f t="shared" si="132"/>
        <v/>
      </c>
      <c r="O240" s="142"/>
      <c r="P240" s="142"/>
      <c r="Q240" s="142"/>
      <c r="R240" s="142"/>
      <c r="S240" s="142"/>
      <c r="T240" s="142"/>
      <c r="U240" s="142"/>
      <c r="V240" s="142"/>
      <c r="W240" s="142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35"/>
      <c r="AJ240" s="35"/>
      <c r="AK240" s="35"/>
      <c r="AL240" s="35"/>
    </row>
    <row r="241" spans="1:38" ht="23.25" customHeight="1" x14ac:dyDescent="0.25">
      <c r="A241" s="33"/>
      <c r="B241" s="4"/>
      <c r="C241" s="4"/>
      <c r="D241" s="4"/>
      <c r="E241" s="4"/>
      <c r="F241" s="135" t="str">
        <f t="shared" ref="F241:N241" si="133">IF(F225="","",ABS(F225-F232))</f>
        <v/>
      </c>
      <c r="G241" s="136" t="str">
        <f t="shared" si="133"/>
        <v/>
      </c>
      <c r="H241" s="136" t="str">
        <f t="shared" si="133"/>
        <v/>
      </c>
      <c r="I241" s="136" t="str">
        <f t="shared" si="133"/>
        <v/>
      </c>
      <c r="J241" s="136" t="str">
        <f t="shared" si="133"/>
        <v/>
      </c>
      <c r="K241" s="136" t="str">
        <f t="shared" si="133"/>
        <v/>
      </c>
      <c r="L241" s="136" t="str">
        <f t="shared" si="133"/>
        <v/>
      </c>
      <c r="M241" s="136" t="str">
        <f t="shared" si="133"/>
        <v/>
      </c>
      <c r="N241" s="137" t="str">
        <f t="shared" si="133"/>
        <v/>
      </c>
      <c r="O241" s="142"/>
      <c r="P241" s="142"/>
      <c r="Q241" s="142"/>
      <c r="R241" s="142"/>
      <c r="S241" s="142"/>
      <c r="T241" s="142"/>
      <c r="U241" s="142"/>
      <c r="V241" s="142"/>
      <c r="W241" s="142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35"/>
      <c r="AJ241" s="35"/>
      <c r="AK241" s="35"/>
      <c r="AL241" s="35"/>
    </row>
    <row r="242" spans="1:38" ht="23.25" customHeight="1" x14ac:dyDescent="0.25">
      <c r="A242" s="33"/>
      <c r="B242" s="4"/>
      <c r="C242" s="4"/>
      <c r="D242" s="4"/>
      <c r="E242" s="4"/>
      <c r="F242" s="135" t="str">
        <f t="shared" ref="F242:N242" si="134">IF(F226="","",ABS(F226-F233))</f>
        <v/>
      </c>
      <c r="G242" s="136" t="str">
        <f t="shared" si="134"/>
        <v/>
      </c>
      <c r="H242" s="136" t="str">
        <f t="shared" si="134"/>
        <v/>
      </c>
      <c r="I242" s="136" t="str">
        <f t="shared" si="134"/>
        <v/>
      </c>
      <c r="J242" s="136" t="str">
        <f t="shared" si="134"/>
        <v/>
      </c>
      <c r="K242" s="136" t="str">
        <f t="shared" si="134"/>
        <v/>
      </c>
      <c r="L242" s="136" t="str">
        <f t="shared" si="134"/>
        <v/>
      </c>
      <c r="M242" s="136" t="str">
        <f t="shared" si="134"/>
        <v/>
      </c>
      <c r="N242" s="137" t="str">
        <f t="shared" si="134"/>
        <v/>
      </c>
      <c r="O242" s="142"/>
      <c r="P242" s="142"/>
      <c r="Q242" s="142"/>
      <c r="R242" s="142"/>
      <c r="S242" s="142"/>
      <c r="T242" s="142"/>
      <c r="U242" s="142"/>
      <c r="V242" s="142"/>
      <c r="W242" s="142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35"/>
      <c r="AJ242" s="35"/>
      <c r="AK242" s="35"/>
      <c r="AL242" s="35"/>
    </row>
    <row r="243" spans="1:38" ht="23.25" customHeight="1" thickBot="1" x14ac:dyDescent="0.3">
      <c r="A243" s="33"/>
      <c r="B243" s="4"/>
      <c r="C243" s="4"/>
      <c r="D243" s="4"/>
      <c r="E243" s="4"/>
      <c r="F243" s="138" t="str">
        <f t="shared" ref="F243:M243" si="135">IF(F227="","",ABS(F227-F234))</f>
        <v/>
      </c>
      <c r="G243" s="139" t="str">
        <f t="shared" si="135"/>
        <v/>
      </c>
      <c r="H243" s="139" t="str">
        <f t="shared" si="135"/>
        <v/>
      </c>
      <c r="I243" s="139" t="str">
        <f t="shared" si="135"/>
        <v/>
      </c>
      <c r="J243" s="139" t="str">
        <f t="shared" si="135"/>
        <v/>
      </c>
      <c r="K243" s="139" t="str">
        <f t="shared" si="135"/>
        <v/>
      </c>
      <c r="L243" s="139" t="str">
        <f t="shared" si="135"/>
        <v/>
      </c>
      <c r="M243" s="139" t="str">
        <f t="shared" si="135"/>
        <v/>
      </c>
      <c r="N243" s="140" t="str">
        <f>IF(N227="","",ABS(N227-N234))</f>
        <v/>
      </c>
      <c r="O243" s="142"/>
      <c r="P243" s="142"/>
      <c r="Q243" s="142"/>
      <c r="R243" s="142"/>
      <c r="S243" s="142"/>
      <c r="T243" s="142"/>
      <c r="U243" s="142"/>
      <c r="V243" s="142"/>
      <c r="W243" s="142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35"/>
      <c r="AJ243" s="35"/>
      <c r="AK243" s="35"/>
      <c r="AL243" s="35"/>
    </row>
    <row r="244" spans="1:38" ht="23.25" customHeight="1" thickBot="1" x14ac:dyDescent="0.3">
      <c r="A244" s="3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142"/>
      <c r="P244" s="142"/>
      <c r="Q244" s="142"/>
      <c r="R244" s="142"/>
      <c r="S244" s="142"/>
      <c r="T244" s="142"/>
      <c r="U244" s="142"/>
      <c r="V244" s="142"/>
      <c r="W244" s="142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35"/>
      <c r="AJ244" s="35"/>
      <c r="AK244" s="35"/>
      <c r="AL244" s="35"/>
    </row>
    <row r="245" spans="1:38" ht="23.25" customHeight="1" x14ac:dyDescent="0.25">
      <c r="A245" s="33"/>
      <c r="B245" s="4"/>
      <c r="C245" s="4"/>
      <c r="D245" s="4"/>
      <c r="E245" s="4"/>
      <c r="F245" s="824" t="s">
        <v>175</v>
      </c>
      <c r="G245" s="825" t="s">
        <v>176</v>
      </c>
      <c r="H245" s="825" t="s">
        <v>177</v>
      </c>
      <c r="I245" s="825" t="s">
        <v>178</v>
      </c>
      <c r="J245" s="825" t="s">
        <v>179</v>
      </c>
      <c r="K245" s="825" t="s">
        <v>180</v>
      </c>
      <c r="L245" s="825" t="s">
        <v>181</v>
      </c>
      <c r="M245" s="825" t="s">
        <v>182</v>
      </c>
      <c r="N245" s="1019" t="s">
        <v>183</v>
      </c>
      <c r="O245" s="142"/>
      <c r="P245" s="142"/>
      <c r="Q245" s="142"/>
      <c r="R245" s="142"/>
      <c r="S245" s="142"/>
      <c r="T245" s="142"/>
      <c r="U245" s="142"/>
      <c r="V245" s="142"/>
      <c r="W245" s="142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35"/>
      <c r="AJ245" s="35"/>
      <c r="AK245" s="35"/>
      <c r="AL245" s="35"/>
    </row>
    <row r="246" spans="1:38" ht="23.25" customHeight="1" thickBot="1" x14ac:dyDescent="0.3">
      <c r="A246" s="33"/>
      <c r="B246" s="4"/>
      <c r="C246" s="4"/>
      <c r="D246" s="4"/>
      <c r="E246" s="4"/>
      <c r="F246" s="1022"/>
      <c r="G246" s="1021"/>
      <c r="H246" s="1021"/>
      <c r="I246" s="1021"/>
      <c r="J246" s="1021"/>
      <c r="K246" s="1021"/>
      <c r="L246" s="1021"/>
      <c r="M246" s="1021"/>
      <c r="N246" s="1020"/>
      <c r="O246" s="142"/>
      <c r="P246" s="142"/>
      <c r="Q246" s="142"/>
      <c r="R246" s="142"/>
      <c r="S246" s="142"/>
      <c r="T246" s="142"/>
      <c r="U246" s="142"/>
      <c r="V246" s="142"/>
      <c r="W246" s="142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35"/>
      <c r="AJ246" s="35"/>
      <c r="AK246" s="35"/>
      <c r="AL246" s="35"/>
    </row>
    <row r="247" spans="1:38" ht="23.25" customHeight="1" x14ac:dyDescent="0.25">
      <c r="A247" s="33"/>
      <c r="B247" s="762" t="s">
        <v>125</v>
      </c>
      <c r="C247" s="763"/>
      <c r="D247" s="763"/>
      <c r="E247" s="763"/>
      <c r="F247" s="143" t="str">
        <f>IF(F224="","",_xlfn.MODE.SNGL(F224:F227,F231:F234))</f>
        <v/>
      </c>
      <c r="G247" s="143" t="str">
        <f t="shared" ref="G247:N247" si="136">IF(G224="","",_xlfn.MODE.SNGL(G224:G227,G231:G234))</f>
        <v/>
      </c>
      <c r="H247" s="143" t="str">
        <f t="shared" si="136"/>
        <v/>
      </c>
      <c r="I247" s="143" t="str">
        <f t="shared" si="136"/>
        <v/>
      </c>
      <c r="J247" s="143" t="str">
        <f t="shared" si="136"/>
        <v/>
      </c>
      <c r="K247" s="143" t="str">
        <f t="shared" si="136"/>
        <v/>
      </c>
      <c r="L247" s="143" t="str">
        <f t="shared" si="136"/>
        <v/>
      </c>
      <c r="M247" s="143" t="str">
        <f t="shared" si="136"/>
        <v/>
      </c>
      <c r="N247" s="144" t="str">
        <f t="shared" si="136"/>
        <v/>
      </c>
      <c r="O247" s="142"/>
      <c r="P247" s="142"/>
      <c r="Q247" s="142"/>
      <c r="R247" s="142"/>
      <c r="S247" s="142"/>
      <c r="T247" s="142"/>
      <c r="U247" s="142"/>
      <c r="V247" s="142"/>
      <c r="W247" s="142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35"/>
      <c r="AJ247" s="35"/>
      <c r="AK247" s="35"/>
      <c r="AL247" s="35"/>
    </row>
    <row r="248" spans="1:38" ht="23.25" customHeight="1" x14ac:dyDescent="0.25">
      <c r="A248" s="33"/>
      <c r="B248" s="1002" t="s">
        <v>126</v>
      </c>
      <c r="C248" s="1003"/>
      <c r="D248" s="1003"/>
      <c r="E248" s="1003"/>
      <c r="F248" s="145" t="str">
        <f>IF(F224="","",MEDIAN(F224:F227,F231:F234))</f>
        <v/>
      </c>
      <c r="G248" s="145" t="str">
        <f t="shared" ref="G248:N248" si="137">IF(G224="","",MEDIAN(G224:G227,G231:G234))</f>
        <v/>
      </c>
      <c r="H248" s="145" t="str">
        <f t="shared" si="137"/>
        <v/>
      </c>
      <c r="I248" s="145" t="str">
        <f t="shared" si="137"/>
        <v/>
      </c>
      <c r="J248" s="145" t="str">
        <f t="shared" si="137"/>
        <v/>
      </c>
      <c r="K248" s="145" t="str">
        <f t="shared" si="137"/>
        <v/>
      </c>
      <c r="L248" s="145" t="str">
        <f t="shared" si="137"/>
        <v/>
      </c>
      <c r="M248" s="145" t="str">
        <f t="shared" si="137"/>
        <v/>
      </c>
      <c r="N248" s="146" t="str">
        <f t="shared" si="137"/>
        <v/>
      </c>
      <c r="O248" s="142"/>
      <c r="P248" s="142"/>
      <c r="Q248" s="142"/>
      <c r="R248" s="142"/>
      <c r="S248" s="142"/>
      <c r="T248" s="142"/>
      <c r="U248" s="142"/>
      <c r="V248" s="142"/>
      <c r="W248" s="142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35"/>
      <c r="AJ248" s="35"/>
      <c r="AK248" s="35"/>
      <c r="AL248" s="35"/>
    </row>
    <row r="249" spans="1:38" ht="23.25" customHeight="1" x14ac:dyDescent="0.25">
      <c r="A249" s="33"/>
      <c r="B249" s="939" t="s">
        <v>191</v>
      </c>
      <c r="C249" s="940"/>
      <c r="D249" s="940"/>
      <c r="E249" s="940"/>
      <c r="F249" s="987" t="str">
        <f>IF(F224="","",IF(AND(OR(O224=$AA$4,O224=""),OR(O225=$AA$4,O225=""),OR(O226=$AA$4,O226=""),OR(O227=$AA$4,O227=""),OR(O231=$AA$4,O231=""),OR(O232=$AA$4,O232=""),OR(O233=$AA$4,O233=""),OR(O234=$AA$4,O234=""),OR(F240&lt;=$H$14,F240=""),OR(F241&lt;=$H$14,F241=""),OR(F242&lt;=$H$14,F242=""),OR(F243&lt;=$H$14,F243="")),"Les échantillons sont stables", "Les échantillons ne sont pas stables;remplacer par d'autre résultats"))</f>
        <v/>
      </c>
      <c r="G249" s="987" t="str">
        <f t="shared" ref="G249" si="138">IF(G224="","",IF(AND(OR(P224=$AA$4,P224=""),OR(P225=$AA$4,P225=""),OR(P226=$AA$4,P226=""),OR(P227=$AA$4,P227=""),OR(P231=$AA$4,P231=""),OR(P232=$AA$4,P232=""),OR(P233=$AA$4,P233=""),OR(P234=$AA$4,P234=""),OR(G240&lt;=$H$14,G240=""),OR(G241&lt;=$H$14,G241=""),OR(G242&lt;=$H$14,G242=""),OR(G243&lt;=$H$14,G243="")),"Les échantillons sont stables", "Les échantillons ne sont pas stables;remplacer par d'autre résultats"))</f>
        <v/>
      </c>
      <c r="H249" s="987" t="str">
        <f t="shared" ref="H249" si="139">IF(H224="","",IF(AND(OR(Q224=$AA$4,Q224=""),OR(Q225=$AA$4,Q225=""),OR(Q226=$AA$4,Q226=""),OR(Q227=$AA$4,Q227=""),OR(Q231=$AA$4,Q231=""),OR(Q232=$AA$4,Q232=""),OR(Q233=$AA$4,Q233=""),OR(Q234=$AA$4,Q234=""),OR(H240&lt;=$H$14,H240=""),OR(H241&lt;=$H$14,H241=""),OR(H242&lt;=$H$14,H242=""),OR(H243&lt;=$H$14,H243="")),"Les échantillons sont stables", "Les échantillons ne sont pas stables;remplacer par d'autre résultats"))</f>
        <v/>
      </c>
      <c r="I249" s="987" t="str">
        <f t="shared" ref="I249" si="140">IF(I224="","",IF(AND(OR(R224=$AA$4,R224=""),OR(R225=$AA$4,R225=""),OR(R226=$AA$4,R226=""),OR(R227=$AA$4,R227=""),OR(R231=$AA$4,R231=""),OR(R232=$AA$4,R232=""),OR(R233=$AA$4,R233=""),OR(R234=$AA$4,R234=""),OR(I240&lt;=$H$14,I240=""),OR(I241&lt;=$H$14,I241=""),OR(I242&lt;=$H$14,I242=""),OR(I243&lt;=$H$14,I243="")),"Les échantillons sont stables", "Les échantillons ne sont pas stables;remplacer par d'autre résultats"))</f>
        <v/>
      </c>
      <c r="J249" s="987" t="str">
        <f t="shared" ref="J249" si="141">IF(J224="","",IF(AND(OR(S224=$AA$4,S224=""),OR(S225=$AA$4,S225=""),OR(S226=$AA$4,S226=""),OR(S227=$AA$4,S227=""),OR(S231=$AA$4,S231=""),OR(S232=$AA$4,S232=""),OR(S233=$AA$4,S233=""),OR(S234=$AA$4,S234=""),OR(J240&lt;=$H$14,J240=""),OR(J241&lt;=$H$14,J241=""),OR(J242&lt;=$H$14,J242=""),OR(J243&lt;=$H$14,J243="")),"Les échantillons sont stables", "Les échantillons ne sont pas stables;remplacer par d'autre résultats"))</f>
        <v/>
      </c>
      <c r="K249" s="987" t="str">
        <f t="shared" ref="K249" si="142">IF(K224="","",IF(AND(OR(T224=$AA$4,T224=""),OR(T225=$AA$4,T225=""),OR(T226=$AA$4,T226=""),OR(T227=$AA$4,T227=""),OR(T231=$AA$4,T231=""),OR(T232=$AA$4,T232=""),OR(T233=$AA$4,T233=""),OR(T234=$AA$4,T234=""),OR(K240&lt;=$H$14,K240=""),OR(K241&lt;=$H$14,K241=""),OR(K242&lt;=$H$14,K242=""),OR(K243&lt;=$H$14,K243="")),"Les échantillons sont stables", "Les échantillons ne sont pas stables;remplacer par d'autre résultats"))</f>
        <v/>
      </c>
      <c r="L249" s="987" t="str">
        <f t="shared" ref="L249" si="143">IF(L224="","",IF(AND(OR(U224=$AA$4,U224=""),OR(U225=$AA$4,U225=""),OR(U226=$AA$4,U226=""),OR(U227=$AA$4,U227=""),OR(U231=$AA$4,U231=""),OR(U232=$AA$4,U232=""),OR(U233=$AA$4,U233=""),OR(U234=$AA$4,U234=""),OR(L240&lt;=$H$14,L240=""),OR(L241&lt;=$H$14,L241=""),OR(L242&lt;=$H$14,L242=""),OR(L243&lt;=$H$14,L243="")),"Les échantillons sont stables", "Les échantillons ne sont pas stables;remplacer par d'autre résultats"))</f>
        <v/>
      </c>
      <c r="M249" s="987" t="str">
        <f t="shared" ref="M249" si="144">IF(M224="","",IF(AND(OR(V224=$AA$4,V224=""),OR(V225=$AA$4,V225=""),OR(V226=$AA$4,V226=""),OR(V227=$AA$4,V227=""),OR(V231=$AA$4,V231=""),OR(V232=$AA$4,V232=""),OR(V233=$AA$4,V233=""),OR(V234=$AA$4,V234=""),OR(M240&lt;=$H$14,M240=""),OR(M241&lt;=$H$14,M241=""),OR(M242&lt;=$H$14,M242=""),OR(M243&lt;=$H$14,M243="")),"Les échantillons sont stables", "Les échantillons ne sont pas stables;remplacer par d'autre résultats"))</f>
        <v/>
      </c>
      <c r="N249" s="989" t="str">
        <f>IF(N224="","",IF(AND(OR(W224=$AA$4,W224=""),OR(W225=$AA$4,W225=""),OR(W226=$AA$4,W226=""),OR(W227=$AA$4,W227=""),OR(W231=$AA$4,W231=""),OR(W232=$AA$4,W232=""),OR(W233=$AA$4,W233=""),OR(W234=$AA$4,W234=""),OR(N240&lt;=$H$14,N240=""),OR(N241&lt;=$H$14,N241=""),OR(N242&lt;=$H$14,N242=""),OR(N243&lt;=$H$14,N243="")),"Les échantillons sont stables", "Les échantillons ne sont pas stables;remplacer par d'autre résultats"))</f>
        <v/>
      </c>
      <c r="O249" s="142"/>
      <c r="P249" s="142"/>
      <c r="Q249" s="142"/>
      <c r="R249" s="142"/>
      <c r="S249" s="142"/>
      <c r="T249" s="142"/>
      <c r="U249" s="142"/>
      <c r="V249" s="142"/>
      <c r="W249" s="142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35"/>
      <c r="AJ249" s="35"/>
      <c r="AK249" s="35"/>
      <c r="AL249" s="35"/>
    </row>
    <row r="250" spans="1:38" ht="23.25" customHeight="1" x14ac:dyDescent="0.25">
      <c r="A250" s="33"/>
      <c r="B250" s="939"/>
      <c r="C250" s="940"/>
      <c r="D250" s="940"/>
      <c r="E250" s="940"/>
      <c r="F250" s="987"/>
      <c r="G250" s="987"/>
      <c r="H250" s="987"/>
      <c r="I250" s="987"/>
      <c r="J250" s="987"/>
      <c r="K250" s="987"/>
      <c r="L250" s="987"/>
      <c r="M250" s="987"/>
      <c r="N250" s="989"/>
      <c r="O250" s="142"/>
      <c r="P250" s="142"/>
      <c r="Q250" s="142"/>
      <c r="R250" s="142"/>
      <c r="S250" s="142"/>
      <c r="T250" s="142"/>
      <c r="U250" s="142"/>
      <c r="V250" s="142"/>
      <c r="W250" s="142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35"/>
      <c r="AJ250" s="35"/>
      <c r="AK250" s="35"/>
      <c r="AL250" s="35"/>
    </row>
    <row r="251" spans="1:38" ht="23.25" customHeight="1" x14ac:dyDescent="0.25">
      <c r="A251" s="33"/>
      <c r="B251" s="939"/>
      <c r="C251" s="940"/>
      <c r="D251" s="940"/>
      <c r="E251" s="940"/>
      <c r="F251" s="987"/>
      <c r="G251" s="987"/>
      <c r="H251" s="987"/>
      <c r="I251" s="987"/>
      <c r="J251" s="987"/>
      <c r="K251" s="987"/>
      <c r="L251" s="987"/>
      <c r="M251" s="987"/>
      <c r="N251" s="989"/>
      <c r="O251" s="142"/>
      <c r="P251" s="142"/>
      <c r="Q251" s="142"/>
      <c r="R251" s="142"/>
      <c r="S251" s="142"/>
      <c r="T251" s="142"/>
      <c r="U251" s="142"/>
      <c r="V251" s="142"/>
      <c r="W251" s="142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35"/>
      <c r="AJ251" s="35"/>
      <c r="AK251" s="35"/>
      <c r="AL251" s="35"/>
    </row>
    <row r="252" spans="1:38" ht="36.75" customHeight="1" thickBot="1" x14ac:dyDescent="0.3">
      <c r="A252" s="33"/>
      <c r="B252" s="1011" t="s">
        <v>228</v>
      </c>
      <c r="C252" s="1012"/>
      <c r="D252" s="1012"/>
      <c r="E252" s="1012"/>
      <c r="F252" s="129"/>
      <c r="G252" s="129"/>
      <c r="H252" s="129"/>
      <c r="I252" s="129"/>
      <c r="J252" s="129"/>
      <c r="K252" s="129"/>
      <c r="L252" s="129"/>
      <c r="M252" s="129"/>
      <c r="N252" s="130"/>
      <c r="O252" s="142"/>
      <c r="P252" s="142"/>
      <c r="Q252" s="142"/>
      <c r="R252" s="142"/>
      <c r="S252" s="142"/>
      <c r="T252" s="142"/>
      <c r="U252" s="142"/>
      <c r="V252" s="142"/>
      <c r="W252" s="142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35"/>
      <c r="AJ252" s="35"/>
      <c r="AK252" s="35"/>
      <c r="AL252" s="35"/>
    </row>
    <row r="253" spans="1:38" ht="23.25" customHeight="1" x14ac:dyDescent="0.25">
      <c r="A253" s="33"/>
      <c r="B253" s="84"/>
      <c r="C253" s="84"/>
      <c r="D253" s="84"/>
      <c r="E253" s="84"/>
      <c r="F253" s="151"/>
      <c r="G253" s="151"/>
      <c r="H253" s="151"/>
      <c r="I253" s="151"/>
      <c r="J253" s="151"/>
      <c r="K253" s="151"/>
      <c r="L253" s="151"/>
      <c r="M253" s="151"/>
      <c r="N253" s="151"/>
      <c r="O253" s="142"/>
      <c r="P253" s="142"/>
      <c r="Q253" s="142"/>
      <c r="R253" s="142"/>
      <c r="S253" s="142"/>
      <c r="T253" s="142"/>
      <c r="U253" s="142"/>
      <c r="V253" s="142"/>
      <c r="W253" s="142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35"/>
      <c r="AJ253" s="35"/>
      <c r="AK253" s="35"/>
      <c r="AL253" s="35"/>
    </row>
    <row r="254" spans="1:38" ht="23.25" customHeight="1" thickBot="1" x14ac:dyDescent="0.3">
      <c r="A254" s="33"/>
      <c r="B254" s="84"/>
      <c r="C254" s="84"/>
      <c r="D254" s="84"/>
      <c r="E254" s="84"/>
      <c r="F254" s="151"/>
      <c r="G254" s="151"/>
      <c r="H254" s="151"/>
      <c r="I254" s="151"/>
      <c r="J254" s="151"/>
      <c r="K254" s="151"/>
      <c r="L254" s="151"/>
      <c r="M254" s="151"/>
      <c r="N254" s="151"/>
      <c r="O254" s="142"/>
      <c r="P254" s="142"/>
      <c r="Q254" s="142"/>
      <c r="R254" s="142"/>
      <c r="S254" s="142"/>
      <c r="T254" s="142"/>
      <c r="U254" s="142"/>
      <c r="V254" s="142"/>
      <c r="W254" s="142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35"/>
      <c r="AJ254" s="35"/>
      <c r="AK254" s="35"/>
      <c r="AL254" s="35"/>
    </row>
    <row r="255" spans="1:38" ht="23.25" customHeight="1" thickBot="1" x14ac:dyDescent="0.3">
      <c r="A255" s="33"/>
      <c r="B255" s="1005" t="s">
        <v>142</v>
      </c>
      <c r="C255" s="1006"/>
      <c r="D255" s="1006"/>
      <c r="E255" s="1006"/>
      <c r="F255" s="1006"/>
      <c r="G255" s="1006"/>
      <c r="H255" s="1006"/>
      <c r="I255" s="1006"/>
      <c r="J255" s="1007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35"/>
      <c r="AJ255" s="35"/>
      <c r="AK255" s="35"/>
      <c r="AL255" s="35"/>
    </row>
    <row r="256" spans="1:38" ht="23.25" customHeight="1" x14ac:dyDescent="0.25">
      <c r="A256" s="33"/>
      <c r="B256" s="824" t="s">
        <v>28</v>
      </c>
      <c r="C256" s="825"/>
      <c r="D256" s="825" t="s">
        <v>122</v>
      </c>
      <c r="E256" s="825"/>
      <c r="F256" s="828" t="s">
        <v>0</v>
      </c>
      <c r="G256" s="828"/>
      <c r="H256" s="828"/>
      <c r="I256" s="828"/>
      <c r="J256" s="828"/>
      <c r="K256" s="828"/>
      <c r="L256" s="828"/>
      <c r="M256" s="828"/>
      <c r="N256" s="828"/>
      <c r="O256" s="828" t="s">
        <v>123</v>
      </c>
      <c r="P256" s="828"/>
      <c r="Q256" s="828"/>
      <c r="R256" s="828"/>
      <c r="S256" s="828"/>
      <c r="T256" s="828"/>
      <c r="U256" s="828"/>
      <c r="V256" s="828"/>
      <c r="W256" s="874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35"/>
      <c r="AJ256" s="35"/>
      <c r="AK256" s="35"/>
      <c r="AL256" s="35"/>
    </row>
    <row r="257" spans="1:38" ht="23.25" customHeight="1" x14ac:dyDescent="0.25">
      <c r="A257" s="33"/>
      <c r="B257" s="826"/>
      <c r="C257" s="827"/>
      <c r="D257" s="827"/>
      <c r="E257" s="827"/>
      <c r="F257" s="827" t="s">
        <v>175</v>
      </c>
      <c r="G257" s="827" t="s">
        <v>176</v>
      </c>
      <c r="H257" s="827" t="s">
        <v>177</v>
      </c>
      <c r="I257" s="827" t="s">
        <v>178</v>
      </c>
      <c r="J257" s="827" t="s">
        <v>179</v>
      </c>
      <c r="K257" s="827" t="s">
        <v>180</v>
      </c>
      <c r="L257" s="827" t="s">
        <v>181</v>
      </c>
      <c r="M257" s="827" t="s">
        <v>182</v>
      </c>
      <c r="N257" s="827" t="s">
        <v>183</v>
      </c>
      <c r="O257" s="827" t="s">
        <v>175</v>
      </c>
      <c r="P257" s="827" t="s">
        <v>176</v>
      </c>
      <c r="Q257" s="827" t="s">
        <v>177</v>
      </c>
      <c r="R257" s="827" t="s">
        <v>178</v>
      </c>
      <c r="S257" s="827" t="s">
        <v>179</v>
      </c>
      <c r="T257" s="827" t="s">
        <v>180</v>
      </c>
      <c r="U257" s="827" t="s">
        <v>181</v>
      </c>
      <c r="V257" s="827" t="s">
        <v>182</v>
      </c>
      <c r="W257" s="1004" t="s">
        <v>183</v>
      </c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35"/>
      <c r="AJ257" s="35"/>
      <c r="AK257" s="35"/>
      <c r="AL257" s="35"/>
    </row>
    <row r="258" spans="1:38" ht="23.25" customHeight="1" x14ac:dyDescent="0.25">
      <c r="A258" s="33"/>
      <c r="B258" s="826"/>
      <c r="C258" s="827"/>
      <c r="D258" s="827"/>
      <c r="E258" s="827"/>
      <c r="F258" s="827"/>
      <c r="G258" s="827"/>
      <c r="H258" s="827"/>
      <c r="I258" s="827"/>
      <c r="J258" s="827"/>
      <c r="K258" s="827"/>
      <c r="L258" s="827"/>
      <c r="M258" s="827"/>
      <c r="N258" s="827"/>
      <c r="O258" s="827"/>
      <c r="P258" s="827"/>
      <c r="Q258" s="827"/>
      <c r="R258" s="827"/>
      <c r="S258" s="827"/>
      <c r="T258" s="827"/>
      <c r="U258" s="827"/>
      <c r="V258" s="827"/>
      <c r="W258" s="1004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35"/>
      <c r="AJ258" s="35"/>
      <c r="AK258" s="35"/>
      <c r="AL258" s="35"/>
    </row>
    <row r="259" spans="1:38" ht="23.25" customHeight="1" x14ac:dyDescent="0.25">
      <c r="A259" s="33"/>
      <c r="B259" s="746"/>
      <c r="C259" s="745"/>
      <c r="D259" s="745"/>
      <c r="E259" s="745"/>
      <c r="F259" s="184"/>
      <c r="G259" s="184"/>
      <c r="H259" s="184"/>
      <c r="I259" s="184"/>
      <c r="J259" s="184"/>
      <c r="K259" s="184"/>
      <c r="L259" s="184"/>
      <c r="M259" s="184"/>
      <c r="N259" s="184"/>
      <c r="O259" s="131" t="str">
        <f>IF(F259="","",IF(ABS(F259-$I$13)&gt;$H$14,"NOT OK", "OK"))</f>
        <v/>
      </c>
      <c r="P259" s="131" t="str">
        <f>IF(G259="","",IF(ABS(G259-$J$13)&gt;$H$14,"NOT OK", "OK"))</f>
        <v/>
      </c>
      <c r="Q259" s="131" t="str">
        <f>IF(H259="","",IF(ABS(H259-$K$13)&gt;$H$14,"NOT OK", "OK"))</f>
        <v/>
      </c>
      <c r="R259" s="131" t="str">
        <f>IF(I259="","",IF(ABS(I259-$L$13)&gt;$H$14,"NOT OK", "OK"))</f>
        <v/>
      </c>
      <c r="S259" s="131" t="str">
        <f>IF(J259="","",IF(ABS(J259-$M$13)&gt;$H$14,"NOT OK", "OK"))</f>
        <v/>
      </c>
      <c r="T259" s="131" t="str">
        <f>IF(K259="","",IF(ABS(K259-$N$13)&gt;$H$14,"NOT OK", "OK"))</f>
        <v/>
      </c>
      <c r="U259" s="131" t="str">
        <f>IF(L259="","",IF(ABS(L259-$O$13)&gt;$H$14,"NOT OK", "OK"))</f>
        <v/>
      </c>
      <c r="V259" s="131" t="str">
        <f>IF(M259="","",IF(ABS(M259-$P$13)&gt;$H$14,"NOT OK", "OK"))</f>
        <v/>
      </c>
      <c r="W259" s="132" t="str">
        <f>IF(N259="","",IF(ABS(N259-$Q$13)&gt;$H$14,"NOT OK", "OK"))</f>
        <v/>
      </c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35"/>
      <c r="AJ259" s="35"/>
      <c r="AK259" s="35"/>
      <c r="AL259" s="35"/>
    </row>
    <row r="260" spans="1:38" ht="23.25" customHeight="1" x14ac:dyDescent="0.25">
      <c r="A260" s="33"/>
      <c r="B260" s="746"/>
      <c r="C260" s="745"/>
      <c r="D260" s="745"/>
      <c r="E260" s="745"/>
      <c r="F260" s="184"/>
      <c r="G260" s="184"/>
      <c r="H260" s="184"/>
      <c r="I260" s="184"/>
      <c r="J260" s="184"/>
      <c r="K260" s="184"/>
      <c r="L260" s="184"/>
      <c r="M260" s="184"/>
      <c r="N260" s="184"/>
      <c r="O260" s="131" t="str">
        <f t="shared" ref="O260:O262" si="145">IF(F260="","",IF(ABS(F260-$I$13)&gt;$H$14,"NOT OK", "OK"))</f>
        <v/>
      </c>
      <c r="P260" s="131" t="str">
        <f t="shared" ref="P260:P262" si="146">IF(G260="","",IF(ABS(G260-$J$13)&gt;$H$14,"NOT OK", "OK"))</f>
        <v/>
      </c>
      <c r="Q260" s="131" t="str">
        <f t="shared" ref="Q260:Q262" si="147">IF(H260="","",IF(ABS(H260-$K$13)&gt;$H$14,"NOT OK", "OK"))</f>
        <v/>
      </c>
      <c r="R260" s="131" t="str">
        <f t="shared" ref="R260:R262" si="148">IF(I260="","",IF(ABS(I260-$L$13)&gt;$H$14,"NOT OK", "OK"))</f>
        <v/>
      </c>
      <c r="S260" s="131" t="str">
        <f t="shared" ref="S260:S262" si="149">IF(J260="","",IF(ABS(J260-$M$13)&gt;$H$14,"NOT OK", "OK"))</f>
        <v/>
      </c>
      <c r="T260" s="131" t="str">
        <f t="shared" ref="T260:T262" si="150">IF(K260="","",IF(ABS(K260-$N$13)&gt;$H$14,"NOT OK", "OK"))</f>
        <v/>
      </c>
      <c r="U260" s="131" t="str">
        <f t="shared" ref="U260:U262" si="151">IF(L260="","",IF(ABS(L260-$O$13)&gt;$H$14,"NOT OK", "OK"))</f>
        <v/>
      </c>
      <c r="V260" s="131" t="str">
        <f t="shared" ref="V260:V262" si="152">IF(M260="","",IF(ABS(M260-$P$13)&gt;$H$14,"NOT OK", "OK"))</f>
        <v/>
      </c>
      <c r="W260" s="132" t="str">
        <f t="shared" ref="W260:W262" si="153">IF(N260="","",IF(ABS(N260-$Q$13)&gt;$H$14,"NOT OK", "OK"))</f>
        <v/>
      </c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35"/>
      <c r="AJ260" s="35"/>
      <c r="AK260" s="35"/>
      <c r="AL260" s="35"/>
    </row>
    <row r="261" spans="1:38" ht="23.25" customHeight="1" x14ac:dyDescent="0.25">
      <c r="A261" s="33"/>
      <c r="B261" s="746"/>
      <c r="C261" s="745"/>
      <c r="D261" s="745"/>
      <c r="E261" s="745"/>
      <c r="F261" s="184"/>
      <c r="G261" s="184"/>
      <c r="H261" s="184"/>
      <c r="I261" s="184"/>
      <c r="J261" s="184"/>
      <c r="K261" s="184"/>
      <c r="L261" s="184"/>
      <c r="M261" s="184"/>
      <c r="N261" s="184"/>
      <c r="O261" s="131" t="str">
        <f t="shared" si="145"/>
        <v/>
      </c>
      <c r="P261" s="131" t="str">
        <f t="shared" si="146"/>
        <v/>
      </c>
      <c r="Q261" s="131" t="str">
        <f t="shared" si="147"/>
        <v/>
      </c>
      <c r="R261" s="131" t="str">
        <f t="shared" si="148"/>
        <v/>
      </c>
      <c r="S261" s="131" t="str">
        <f t="shared" si="149"/>
        <v/>
      </c>
      <c r="T261" s="131" t="str">
        <f t="shared" si="150"/>
        <v/>
      </c>
      <c r="U261" s="131" t="str">
        <f t="shared" si="151"/>
        <v/>
      </c>
      <c r="V261" s="131" t="str">
        <f t="shared" si="152"/>
        <v/>
      </c>
      <c r="W261" s="132" t="str">
        <f t="shared" si="153"/>
        <v/>
      </c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35"/>
      <c r="AJ261" s="35"/>
      <c r="AK261" s="35"/>
      <c r="AL261" s="35"/>
    </row>
    <row r="262" spans="1:38" ht="23.25" customHeight="1" x14ac:dyDescent="0.25">
      <c r="A262" s="33"/>
      <c r="B262" s="746"/>
      <c r="C262" s="745"/>
      <c r="D262" s="745"/>
      <c r="E262" s="745"/>
      <c r="F262" s="184"/>
      <c r="G262" s="184"/>
      <c r="H262" s="184"/>
      <c r="I262" s="184"/>
      <c r="J262" s="184"/>
      <c r="K262" s="184"/>
      <c r="L262" s="184"/>
      <c r="M262" s="184"/>
      <c r="N262" s="184"/>
      <c r="O262" s="131" t="str">
        <f t="shared" si="145"/>
        <v/>
      </c>
      <c r="P262" s="131" t="str">
        <f t="shared" si="146"/>
        <v/>
      </c>
      <c r="Q262" s="131" t="str">
        <f t="shared" si="147"/>
        <v/>
      </c>
      <c r="R262" s="131" t="str">
        <f t="shared" si="148"/>
        <v/>
      </c>
      <c r="S262" s="131" t="str">
        <f t="shared" si="149"/>
        <v/>
      </c>
      <c r="T262" s="131" t="str">
        <f t="shared" si="150"/>
        <v/>
      </c>
      <c r="U262" s="131" t="str">
        <f t="shared" si="151"/>
        <v/>
      </c>
      <c r="V262" s="131" t="str">
        <f t="shared" si="152"/>
        <v/>
      </c>
      <c r="W262" s="132" t="str">
        <f t="shared" si="153"/>
        <v/>
      </c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35"/>
      <c r="AJ262" s="35"/>
      <c r="AK262" s="35"/>
      <c r="AL262" s="35"/>
    </row>
    <row r="263" spans="1:38" ht="23.25" customHeight="1" x14ac:dyDescent="0.25">
      <c r="A263" s="33"/>
      <c r="B263" s="826" t="s">
        <v>28</v>
      </c>
      <c r="C263" s="827"/>
      <c r="D263" s="827" t="s">
        <v>185</v>
      </c>
      <c r="E263" s="827"/>
      <c r="F263" s="829" t="s">
        <v>1</v>
      </c>
      <c r="G263" s="829"/>
      <c r="H263" s="829"/>
      <c r="I263" s="829"/>
      <c r="J263" s="829"/>
      <c r="K263" s="829"/>
      <c r="L263" s="829"/>
      <c r="M263" s="829"/>
      <c r="N263" s="829"/>
      <c r="O263" s="829" t="s">
        <v>124</v>
      </c>
      <c r="P263" s="829"/>
      <c r="Q263" s="829"/>
      <c r="R263" s="829"/>
      <c r="S263" s="829"/>
      <c r="T263" s="829"/>
      <c r="U263" s="829"/>
      <c r="V263" s="829"/>
      <c r="W263" s="875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35"/>
      <c r="AJ263" s="35"/>
      <c r="AK263" s="35"/>
      <c r="AL263" s="35"/>
    </row>
    <row r="264" spans="1:38" ht="23.25" customHeight="1" x14ac:dyDescent="0.25">
      <c r="A264" s="33"/>
      <c r="B264" s="826"/>
      <c r="C264" s="827"/>
      <c r="D264" s="827"/>
      <c r="E264" s="827"/>
      <c r="F264" s="827" t="s">
        <v>175</v>
      </c>
      <c r="G264" s="827" t="s">
        <v>176</v>
      </c>
      <c r="H264" s="827" t="s">
        <v>177</v>
      </c>
      <c r="I264" s="827" t="s">
        <v>178</v>
      </c>
      <c r="J264" s="827" t="s">
        <v>179</v>
      </c>
      <c r="K264" s="827" t="s">
        <v>180</v>
      </c>
      <c r="L264" s="827" t="s">
        <v>181</v>
      </c>
      <c r="M264" s="827" t="s">
        <v>182</v>
      </c>
      <c r="N264" s="827" t="s">
        <v>183</v>
      </c>
      <c r="O264" s="827" t="s">
        <v>175</v>
      </c>
      <c r="P264" s="827" t="s">
        <v>176</v>
      </c>
      <c r="Q264" s="827" t="s">
        <v>177</v>
      </c>
      <c r="R264" s="827" t="s">
        <v>178</v>
      </c>
      <c r="S264" s="827" t="s">
        <v>179</v>
      </c>
      <c r="T264" s="827" t="s">
        <v>180</v>
      </c>
      <c r="U264" s="827" t="s">
        <v>181</v>
      </c>
      <c r="V264" s="827" t="s">
        <v>182</v>
      </c>
      <c r="W264" s="1004" t="s">
        <v>183</v>
      </c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35"/>
      <c r="AJ264" s="35"/>
      <c r="AK264" s="35"/>
      <c r="AL264" s="35"/>
    </row>
    <row r="265" spans="1:38" ht="23.25" customHeight="1" x14ac:dyDescent="0.25">
      <c r="A265" s="33"/>
      <c r="B265" s="826"/>
      <c r="C265" s="827"/>
      <c r="D265" s="827"/>
      <c r="E265" s="827"/>
      <c r="F265" s="827"/>
      <c r="G265" s="827"/>
      <c r="H265" s="827"/>
      <c r="I265" s="827"/>
      <c r="J265" s="827"/>
      <c r="K265" s="827"/>
      <c r="L265" s="827"/>
      <c r="M265" s="827"/>
      <c r="N265" s="827"/>
      <c r="O265" s="827"/>
      <c r="P265" s="827"/>
      <c r="Q265" s="827"/>
      <c r="R265" s="827"/>
      <c r="S265" s="827"/>
      <c r="T265" s="827"/>
      <c r="U265" s="827"/>
      <c r="V265" s="827"/>
      <c r="W265" s="1004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35"/>
      <c r="AJ265" s="35"/>
      <c r="AK265" s="35"/>
      <c r="AL265" s="35"/>
    </row>
    <row r="266" spans="1:38" ht="23.25" customHeight="1" x14ac:dyDescent="0.25">
      <c r="A266" s="33"/>
      <c r="B266" s="746"/>
      <c r="C266" s="745"/>
      <c r="D266" s="745"/>
      <c r="E266" s="745"/>
      <c r="F266" s="184"/>
      <c r="G266" s="184"/>
      <c r="H266" s="184"/>
      <c r="I266" s="184"/>
      <c r="J266" s="184"/>
      <c r="K266" s="184"/>
      <c r="L266" s="184"/>
      <c r="M266" s="184"/>
      <c r="N266" s="184"/>
      <c r="O266" s="131" t="str">
        <f>IF(F266="","",IF(ABS(F266-$I$13)&gt;$H$14,"NOT OK", "OK"))</f>
        <v/>
      </c>
      <c r="P266" s="131" t="str">
        <f>IF(G266="","",IF(ABS(G266-$J$13)&gt;$H$14,"NOT OK", "OK"))</f>
        <v/>
      </c>
      <c r="Q266" s="131" t="str">
        <f>IF(H266="","",IF(ABS(H266-$K$13)&gt;$H$14,"NOT OK", "OK"))</f>
        <v/>
      </c>
      <c r="R266" s="131" t="str">
        <f>IF(I266="","",IF(ABS(I266-$L$13)&gt;$H$14,"NOT OK", "OK"))</f>
        <v/>
      </c>
      <c r="S266" s="131" t="str">
        <f>IF(J266="","",IF(ABS(J266-$M$13)&gt;$H$14,"NOT OK", "OK"))</f>
        <v/>
      </c>
      <c r="T266" s="131" t="str">
        <f>IF(K266="","",IF(ABS(K266-$N$13)&gt;$H$14,"NOT OK", "OK"))</f>
        <v/>
      </c>
      <c r="U266" s="131" t="str">
        <f>IF(L266="","",IF(ABS(L266-$O$13)&gt;$H$14,"NOT OK", "OK"))</f>
        <v/>
      </c>
      <c r="V266" s="131" t="str">
        <f>IF(M266="","",IF(ABS(M266-$P$13)&gt;$H$14,"NOT OK", "OK"))</f>
        <v/>
      </c>
      <c r="W266" s="132" t="str">
        <f>IF(N266="","",IF(ABS(N266-$Q$13)&gt;$H$14,"NOT OK", "OK"))</f>
        <v/>
      </c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35"/>
      <c r="AJ266" s="35"/>
      <c r="AK266" s="35"/>
      <c r="AL266" s="35"/>
    </row>
    <row r="267" spans="1:38" ht="23.25" customHeight="1" x14ac:dyDescent="0.25">
      <c r="A267" s="33"/>
      <c r="B267" s="746"/>
      <c r="C267" s="745"/>
      <c r="D267" s="745"/>
      <c r="E267" s="745"/>
      <c r="F267" s="184"/>
      <c r="G267" s="184"/>
      <c r="H267" s="184"/>
      <c r="I267" s="184"/>
      <c r="J267" s="184"/>
      <c r="K267" s="184"/>
      <c r="L267" s="184"/>
      <c r="M267" s="184"/>
      <c r="N267" s="184"/>
      <c r="O267" s="131" t="str">
        <f t="shared" ref="O267:O269" si="154">IF(F267="","",IF(ABS(F267-$I$13)&gt;$H$14,"NOT OK", "OK"))</f>
        <v/>
      </c>
      <c r="P267" s="131" t="str">
        <f t="shared" ref="P267:P269" si="155">IF(G267="","",IF(ABS(G267-$J$13)&gt;$H$14,"NOT OK", "OK"))</f>
        <v/>
      </c>
      <c r="Q267" s="131" t="str">
        <f t="shared" ref="Q267:Q269" si="156">IF(H267="","",IF(ABS(H267-$K$13)&gt;$H$14,"NOT OK", "OK"))</f>
        <v/>
      </c>
      <c r="R267" s="131" t="str">
        <f t="shared" ref="R267:R269" si="157">IF(I267="","",IF(ABS(I267-$L$13)&gt;$H$14,"NOT OK", "OK"))</f>
        <v/>
      </c>
      <c r="S267" s="131" t="str">
        <f t="shared" ref="S267:S269" si="158">IF(J267="","",IF(ABS(J267-$M$13)&gt;$H$14,"NOT OK", "OK"))</f>
        <v/>
      </c>
      <c r="T267" s="131" t="str">
        <f t="shared" ref="T267:T269" si="159">IF(K267="","",IF(ABS(K267-$N$13)&gt;$H$14,"NOT OK", "OK"))</f>
        <v/>
      </c>
      <c r="U267" s="131" t="str">
        <f t="shared" ref="U267:U269" si="160">IF(L267="","",IF(ABS(L267-$O$13)&gt;$H$14,"NOT OK", "OK"))</f>
        <v/>
      </c>
      <c r="V267" s="131" t="str">
        <f t="shared" ref="V267:V269" si="161">IF(M267="","",IF(ABS(M267-$P$13)&gt;$H$14,"NOT OK", "OK"))</f>
        <v/>
      </c>
      <c r="W267" s="132" t="str">
        <f t="shared" ref="W267:W268" si="162">IF(N267="","",IF(ABS(N267-$Q$13)&gt;$H$14,"NOT OK", "OK"))</f>
        <v/>
      </c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35"/>
      <c r="AJ267" s="35"/>
      <c r="AK267" s="35"/>
      <c r="AL267" s="35"/>
    </row>
    <row r="268" spans="1:38" ht="23.25" customHeight="1" x14ac:dyDescent="0.25">
      <c r="A268" s="33"/>
      <c r="B268" s="746"/>
      <c r="C268" s="745"/>
      <c r="D268" s="745"/>
      <c r="E268" s="745"/>
      <c r="F268" s="184"/>
      <c r="G268" s="184"/>
      <c r="H268" s="184"/>
      <c r="I268" s="184"/>
      <c r="J268" s="184"/>
      <c r="K268" s="184"/>
      <c r="L268" s="184"/>
      <c r="M268" s="184"/>
      <c r="N268" s="184"/>
      <c r="O268" s="131" t="str">
        <f t="shared" si="154"/>
        <v/>
      </c>
      <c r="P268" s="131" t="str">
        <f t="shared" si="155"/>
        <v/>
      </c>
      <c r="Q268" s="131" t="str">
        <f t="shared" si="156"/>
        <v/>
      </c>
      <c r="R268" s="131" t="str">
        <f t="shared" si="157"/>
        <v/>
      </c>
      <c r="S268" s="131" t="str">
        <f t="shared" si="158"/>
        <v/>
      </c>
      <c r="T268" s="131" t="str">
        <f t="shared" si="159"/>
        <v/>
      </c>
      <c r="U268" s="131" t="str">
        <f t="shared" si="160"/>
        <v/>
      </c>
      <c r="V268" s="131" t="str">
        <f t="shared" si="161"/>
        <v/>
      </c>
      <c r="W268" s="132" t="str">
        <f t="shared" si="162"/>
        <v/>
      </c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35"/>
      <c r="AJ268" s="35"/>
      <c r="AK268" s="35"/>
      <c r="AL268" s="35"/>
    </row>
    <row r="269" spans="1:38" ht="23.25" customHeight="1" thickBot="1" x14ac:dyDescent="0.3">
      <c r="A269" s="33"/>
      <c r="B269" s="746"/>
      <c r="C269" s="745"/>
      <c r="D269" s="745"/>
      <c r="E269" s="745"/>
      <c r="F269" s="184"/>
      <c r="G269" s="184"/>
      <c r="H269" s="184"/>
      <c r="I269" s="184"/>
      <c r="J269" s="184"/>
      <c r="K269" s="184"/>
      <c r="L269" s="184"/>
      <c r="M269" s="184"/>
      <c r="N269" s="184"/>
      <c r="O269" s="133" t="str">
        <f t="shared" si="154"/>
        <v/>
      </c>
      <c r="P269" s="133" t="str">
        <f t="shared" si="155"/>
        <v/>
      </c>
      <c r="Q269" s="133" t="str">
        <f t="shared" si="156"/>
        <v/>
      </c>
      <c r="R269" s="133" t="str">
        <f t="shared" si="157"/>
        <v/>
      </c>
      <c r="S269" s="133" t="str">
        <f t="shared" si="158"/>
        <v/>
      </c>
      <c r="T269" s="133" t="str">
        <f t="shared" si="159"/>
        <v/>
      </c>
      <c r="U269" s="133" t="str">
        <f t="shared" si="160"/>
        <v/>
      </c>
      <c r="V269" s="133" t="str">
        <f t="shared" si="161"/>
        <v/>
      </c>
      <c r="W269" s="134" t="str">
        <f>IF(N269="","",IF(ABS(N269-$Q$13)&gt;$H$14,"NOT OK", "OK"))</f>
        <v/>
      </c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35"/>
      <c r="AJ269" s="35"/>
      <c r="AK269" s="35"/>
      <c r="AL269" s="35"/>
    </row>
    <row r="270" spans="1:38" ht="23.25" customHeight="1" x14ac:dyDescent="0.25">
      <c r="A270" s="33"/>
      <c r="B270" s="4"/>
      <c r="C270" s="4"/>
      <c r="D270" s="4"/>
      <c r="E270" s="4"/>
      <c r="F270" s="17"/>
      <c r="G270" s="17"/>
      <c r="H270" s="17"/>
      <c r="I270" s="17"/>
      <c r="J270" s="17"/>
      <c r="K270" s="17"/>
      <c r="L270" s="17"/>
      <c r="M270" s="17"/>
      <c r="N270" s="17"/>
      <c r="O270" s="142"/>
      <c r="P270" s="142"/>
      <c r="Q270" s="142"/>
      <c r="R270" s="142"/>
      <c r="S270" s="142"/>
      <c r="T270" s="142"/>
      <c r="U270" s="142"/>
      <c r="V270" s="142"/>
      <c r="W270" s="142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35"/>
      <c r="AJ270" s="35"/>
      <c r="AK270" s="35"/>
      <c r="AL270" s="35"/>
    </row>
    <row r="271" spans="1:38" ht="23.25" customHeight="1" thickBot="1" x14ac:dyDescent="0.3">
      <c r="A271" s="33"/>
      <c r="B271" s="4"/>
      <c r="C271" s="4"/>
      <c r="D271" s="4"/>
      <c r="E271" s="4"/>
      <c r="F271" s="17"/>
      <c r="G271" s="17"/>
      <c r="H271" s="17"/>
      <c r="I271" s="17"/>
      <c r="J271" s="17"/>
      <c r="K271" s="17"/>
      <c r="L271" s="17"/>
      <c r="M271" s="17"/>
      <c r="N271" s="17"/>
      <c r="O271" s="142"/>
      <c r="P271" s="142"/>
      <c r="Q271" s="142"/>
      <c r="R271" s="142"/>
      <c r="S271" s="142"/>
      <c r="T271" s="142"/>
      <c r="U271" s="142"/>
      <c r="V271" s="142"/>
      <c r="W271" s="142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35"/>
      <c r="AJ271" s="35"/>
      <c r="AK271" s="35"/>
      <c r="AL271" s="35"/>
    </row>
    <row r="272" spans="1:38" ht="23.25" customHeight="1" x14ac:dyDescent="0.25">
      <c r="A272" s="33"/>
      <c r="B272" s="4"/>
      <c r="C272" s="4"/>
      <c r="D272" s="4"/>
      <c r="E272" s="4"/>
      <c r="F272" s="863" t="s">
        <v>184</v>
      </c>
      <c r="G272" s="828"/>
      <c r="H272" s="828"/>
      <c r="I272" s="828"/>
      <c r="J272" s="828"/>
      <c r="K272" s="828"/>
      <c r="L272" s="828"/>
      <c r="M272" s="828"/>
      <c r="N272" s="874"/>
      <c r="O272" s="142"/>
      <c r="P272" s="142"/>
      <c r="Q272" s="142"/>
      <c r="R272" s="142"/>
      <c r="S272" s="142"/>
      <c r="T272" s="142"/>
      <c r="U272" s="142"/>
      <c r="V272" s="142"/>
      <c r="W272" s="142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35"/>
      <c r="AJ272" s="35"/>
      <c r="AK272" s="35"/>
      <c r="AL272" s="35"/>
    </row>
    <row r="273" spans="1:38" ht="23.25" customHeight="1" x14ac:dyDescent="0.25">
      <c r="A273" s="33"/>
      <c r="B273" s="4"/>
      <c r="C273" s="4"/>
      <c r="D273" s="4"/>
      <c r="E273" s="4"/>
      <c r="F273" s="826" t="s">
        <v>175</v>
      </c>
      <c r="G273" s="827" t="s">
        <v>176</v>
      </c>
      <c r="H273" s="827" t="s">
        <v>177</v>
      </c>
      <c r="I273" s="827" t="s">
        <v>178</v>
      </c>
      <c r="J273" s="827" t="s">
        <v>179</v>
      </c>
      <c r="K273" s="827" t="s">
        <v>180</v>
      </c>
      <c r="L273" s="827" t="s">
        <v>181</v>
      </c>
      <c r="M273" s="827" t="s">
        <v>182</v>
      </c>
      <c r="N273" s="1004" t="s">
        <v>183</v>
      </c>
      <c r="O273" s="142"/>
      <c r="P273" s="142"/>
      <c r="Q273" s="142"/>
      <c r="R273" s="142"/>
      <c r="S273" s="142"/>
      <c r="T273" s="142"/>
      <c r="U273" s="142"/>
      <c r="V273" s="142"/>
      <c r="W273" s="142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35"/>
      <c r="AJ273" s="35"/>
      <c r="AK273" s="35"/>
      <c r="AL273" s="35"/>
    </row>
    <row r="274" spans="1:38" ht="23.25" customHeight="1" x14ac:dyDescent="0.25">
      <c r="A274" s="33"/>
      <c r="B274" s="4"/>
      <c r="C274" s="4"/>
      <c r="D274" s="4"/>
      <c r="E274" s="4"/>
      <c r="F274" s="826"/>
      <c r="G274" s="827"/>
      <c r="H274" s="827"/>
      <c r="I274" s="827"/>
      <c r="J274" s="827"/>
      <c r="K274" s="827"/>
      <c r="L274" s="827"/>
      <c r="M274" s="827"/>
      <c r="N274" s="1004"/>
      <c r="O274" s="142"/>
      <c r="P274" s="142"/>
      <c r="Q274" s="142"/>
      <c r="R274" s="142"/>
      <c r="S274" s="142"/>
      <c r="T274" s="142"/>
      <c r="U274" s="142"/>
      <c r="V274" s="142"/>
      <c r="W274" s="142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35"/>
      <c r="AJ274" s="35"/>
      <c r="AK274" s="35"/>
      <c r="AL274" s="35"/>
    </row>
    <row r="275" spans="1:38" ht="23.25" customHeight="1" x14ac:dyDescent="0.25">
      <c r="A275" s="33"/>
      <c r="B275" s="4"/>
      <c r="C275" s="4"/>
      <c r="D275" s="4"/>
      <c r="E275" s="4"/>
      <c r="F275" s="135" t="str">
        <f>IF(F259="","",ABS(F259-F266))</f>
        <v/>
      </c>
      <c r="G275" s="136" t="str">
        <f t="shared" ref="G275:N275" si="163">IF(G259="","",ABS(G259-G266))</f>
        <v/>
      </c>
      <c r="H275" s="136" t="str">
        <f t="shared" si="163"/>
        <v/>
      </c>
      <c r="I275" s="136" t="str">
        <f t="shared" si="163"/>
        <v/>
      </c>
      <c r="J275" s="136" t="str">
        <f t="shared" si="163"/>
        <v/>
      </c>
      <c r="K275" s="136" t="str">
        <f t="shared" si="163"/>
        <v/>
      </c>
      <c r="L275" s="136" t="str">
        <f t="shared" si="163"/>
        <v/>
      </c>
      <c r="M275" s="136" t="str">
        <f t="shared" si="163"/>
        <v/>
      </c>
      <c r="N275" s="137" t="str">
        <f t="shared" si="163"/>
        <v/>
      </c>
      <c r="O275" s="142"/>
      <c r="P275" s="142"/>
      <c r="Q275" s="142"/>
      <c r="R275" s="142"/>
      <c r="S275" s="142"/>
      <c r="T275" s="142"/>
      <c r="U275" s="142"/>
      <c r="V275" s="142"/>
      <c r="W275" s="142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35"/>
      <c r="AJ275" s="35"/>
      <c r="AK275" s="35"/>
      <c r="AL275" s="35"/>
    </row>
    <row r="276" spans="1:38" ht="23.25" customHeight="1" x14ac:dyDescent="0.25">
      <c r="A276" s="33"/>
      <c r="B276" s="4"/>
      <c r="C276" s="4"/>
      <c r="D276" s="4"/>
      <c r="E276" s="4"/>
      <c r="F276" s="135" t="str">
        <f t="shared" ref="F276:N276" si="164">IF(F260="","",ABS(F260-F267))</f>
        <v/>
      </c>
      <c r="G276" s="136" t="str">
        <f t="shared" si="164"/>
        <v/>
      </c>
      <c r="H276" s="136" t="str">
        <f t="shared" si="164"/>
        <v/>
      </c>
      <c r="I276" s="136" t="str">
        <f t="shared" si="164"/>
        <v/>
      </c>
      <c r="J276" s="136" t="str">
        <f t="shared" si="164"/>
        <v/>
      </c>
      <c r="K276" s="136" t="str">
        <f t="shared" si="164"/>
        <v/>
      </c>
      <c r="L276" s="136" t="str">
        <f t="shared" si="164"/>
        <v/>
      </c>
      <c r="M276" s="136" t="str">
        <f t="shared" si="164"/>
        <v/>
      </c>
      <c r="N276" s="137" t="str">
        <f t="shared" si="164"/>
        <v/>
      </c>
      <c r="O276" s="142"/>
      <c r="P276" s="142"/>
      <c r="Q276" s="142"/>
      <c r="R276" s="142"/>
      <c r="S276" s="142"/>
      <c r="T276" s="142"/>
      <c r="U276" s="142"/>
      <c r="V276" s="142"/>
      <c r="W276" s="142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35"/>
      <c r="AJ276" s="35"/>
      <c r="AK276" s="35"/>
      <c r="AL276" s="35"/>
    </row>
    <row r="277" spans="1:38" ht="23.25" customHeight="1" x14ac:dyDescent="0.25">
      <c r="A277" s="33"/>
      <c r="B277" s="4"/>
      <c r="C277" s="4"/>
      <c r="D277" s="4"/>
      <c r="E277" s="4"/>
      <c r="F277" s="135" t="str">
        <f t="shared" ref="F277:N277" si="165">IF(F261="","",ABS(F261-F268))</f>
        <v/>
      </c>
      <c r="G277" s="136" t="str">
        <f t="shared" si="165"/>
        <v/>
      </c>
      <c r="H277" s="136" t="str">
        <f t="shared" si="165"/>
        <v/>
      </c>
      <c r="I277" s="136" t="str">
        <f t="shared" si="165"/>
        <v/>
      </c>
      <c r="J277" s="136" t="str">
        <f t="shared" si="165"/>
        <v/>
      </c>
      <c r="K277" s="136" t="str">
        <f t="shared" si="165"/>
        <v/>
      </c>
      <c r="L277" s="136" t="str">
        <f t="shared" si="165"/>
        <v/>
      </c>
      <c r="M277" s="136" t="str">
        <f t="shared" si="165"/>
        <v/>
      </c>
      <c r="N277" s="137" t="str">
        <f t="shared" si="165"/>
        <v/>
      </c>
      <c r="O277" s="142"/>
      <c r="P277" s="142"/>
      <c r="Q277" s="142"/>
      <c r="R277" s="142"/>
      <c r="S277" s="142"/>
      <c r="T277" s="142"/>
      <c r="U277" s="142"/>
      <c r="V277" s="142"/>
      <c r="W277" s="142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35"/>
      <c r="AJ277" s="35"/>
      <c r="AK277" s="35"/>
      <c r="AL277" s="35"/>
    </row>
    <row r="278" spans="1:38" ht="23.25" customHeight="1" thickBot="1" x14ac:dyDescent="0.3">
      <c r="A278" s="33"/>
      <c r="B278" s="4"/>
      <c r="C278" s="4"/>
      <c r="D278" s="4"/>
      <c r="E278" s="4"/>
      <c r="F278" s="138" t="str">
        <f t="shared" ref="F278:M278" si="166">IF(F262="","",ABS(F262-F269))</f>
        <v/>
      </c>
      <c r="G278" s="139" t="str">
        <f t="shared" si="166"/>
        <v/>
      </c>
      <c r="H278" s="139" t="str">
        <f t="shared" si="166"/>
        <v/>
      </c>
      <c r="I278" s="139" t="str">
        <f t="shared" si="166"/>
        <v/>
      </c>
      <c r="J278" s="139" t="str">
        <f t="shared" si="166"/>
        <v/>
      </c>
      <c r="K278" s="139" t="str">
        <f t="shared" si="166"/>
        <v/>
      </c>
      <c r="L278" s="139" t="str">
        <f t="shared" si="166"/>
        <v/>
      </c>
      <c r="M278" s="139" t="str">
        <f t="shared" si="166"/>
        <v/>
      </c>
      <c r="N278" s="140" t="str">
        <f>IF(N262="","",ABS(N262-N269))</f>
        <v/>
      </c>
      <c r="O278" s="142"/>
      <c r="P278" s="142"/>
      <c r="Q278" s="142"/>
      <c r="R278" s="142"/>
      <c r="S278" s="142"/>
      <c r="T278" s="142"/>
      <c r="U278" s="142"/>
      <c r="V278" s="142"/>
      <c r="W278" s="142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35"/>
      <c r="AJ278" s="35"/>
      <c r="AK278" s="35"/>
      <c r="AL278" s="35"/>
    </row>
    <row r="279" spans="1:38" ht="23.25" customHeight="1" thickBot="1" x14ac:dyDescent="0.3">
      <c r="A279" s="3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142"/>
      <c r="P279" s="142"/>
      <c r="Q279" s="142"/>
      <c r="R279" s="142"/>
      <c r="S279" s="142"/>
      <c r="T279" s="142"/>
      <c r="U279" s="142"/>
      <c r="V279" s="142"/>
      <c r="W279" s="142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35"/>
      <c r="AJ279" s="35"/>
      <c r="AK279" s="35"/>
      <c r="AL279" s="35"/>
    </row>
    <row r="280" spans="1:38" ht="23.25" customHeight="1" x14ac:dyDescent="0.25">
      <c r="A280" s="33"/>
      <c r="B280" s="4"/>
      <c r="C280" s="4"/>
      <c r="D280" s="4"/>
      <c r="E280" s="4"/>
      <c r="F280" s="824" t="s">
        <v>175</v>
      </c>
      <c r="G280" s="825" t="s">
        <v>176</v>
      </c>
      <c r="H280" s="825" t="s">
        <v>177</v>
      </c>
      <c r="I280" s="825" t="s">
        <v>178</v>
      </c>
      <c r="J280" s="825" t="s">
        <v>179</v>
      </c>
      <c r="K280" s="825" t="s">
        <v>180</v>
      </c>
      <c r="L280" s="825" t="s">
        <v>181</v>
      </c>
      <c r="M280" s="825" t="s">
        <v>182</v>
      </c>
      <c r="N280" s="1019" t="s">
        <v>183</v>
      </c>
      <c r="O280" s="142"/>
      <c r="P280" s="142"/>
      <c r="Q280" s="142"/>
      <c r="R280" s="142"/>
      <c r="S280" s="142"/>
      <c r="T280" s="142"/>
      <c r="U280" s="142"/>
      <c r="V280" s="142"/>
      <c r="W280" s="142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35"/>
      <c r="AJ280" s="35"/>
      <c r="AK280" s="35"/>
      <c r="AL280" s="35"/>
    </row>
    <row r="281" spans="1:38" ht="23.25" customHeight="1" thickBot="1" x14ac:dyDescent="0.3">
      <c r="A281" s="33"/>
      <c r="B281" s="4"/>
      <c r="C281" s="4"/>
      <c r="D281" s="4"/>
      <c r="E281" s="4"/>
      <c r="F281" s="1022"/>
      <c r="G281" s="1021"/>
      <c r="H281" s="1021"/>
      <c r="I281" s="1021"/>
      <c r="J281" s="1021"/>
      <c r="K281" s="1021"/>
      <c r="L281" s="1021"/>
      <c r="M281" s="1021"/>
      <c r="N281" s="1020"/>
      <c r="O281" s="142"/>
      <c r="P281" s="142"/>
      <c r="Q281" s="142"/>
      <c r="R281" s="142"/>
      <c r="S281" s="142"/>
      <c r="T281" s="142"/>
      <c r="U281" s="142"/>
      <c r="V281" s="142"/>
      <c r="W281" s="142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35"/>
      <c r="AJ281" s="35"/>
      <c r="AK281" s="35"/>
      <c r="AL281" s="35"/>
    </row>
    <row r="282" spans="1:38" ht="23.25" customHeight="1" x14ac:dyDescent="0.25">
      <c r="A282" s="33"/>
      <c r="B282" s="762" t="s">
        <v>125</v>
      </c>
      <c r="C282" s="763"/>
      <c r="D282" s="763"/>
      <c r="E282" s="763"/>
      <c r="F282" s="143" t="str">
        <f>IF(F259="","",_xlfn.MODE.SNGL(F259:F262,F266:F269))</f>
        <v/>
      </c>
      <c r="G282" s="143" t="str">
        <f t="shared" ref="G282:N282" si="167">IF(G259="","",_xlfn.MODE.SNGL(G259:G262,G266:G269))</f>
        <v/>
      </c>
      <c r="H282" s="143" t="str">
        <f t="shared" si="167"/>
        <v/>
      </c>
      <c r="I282" s="143" t="str">
        <f t="shared" si="167"/>
        <v/>
      </c>
      <c r="J282" s="143" t="str">
        <f t="shared" si="167"/>
        <v/>
      </c>
      <c r="K282" s="143" t="str">
        <f t="shared" si="167"/>
        <v/>
      </c>
      <c r="L282" s="143" t="str">
        <f t="shared" si="167"/>
        <v/>
      </c>
      <c r="M282" s="143" t="str">
        <f t="shared" si="167"/>
        <v/>
      </c>
      <c r="N282" s="144" t="str">
        <f t="shared" si="167"/>
        <v/>
      </c>
      <c r="O282" s="142"/>
      <c r="P282" s="142"/>
      <c r="Q282" s="142"/>
      <c r="R282" s="142"/>
      <c r="S282" s="142"/>
      <c r="T282" s="142"/>
      <c r="U282" s="142"/>
      <c r="V282" s="142"/>
      <c r="W282" s="142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35"/>
      <c r="AJ282" s="35"/>
      <c r="AK282" s="35"/>
      <c r="AL282" s="35"/>
    </row>
    <row r="283" spans="1:38" ht="23.25" customHeight="1" x14ac:dyDescent="0.25">
      <c r="A283" s="33"/>
      <c r="B283" s="1002" t="s">
        <v>126</v>
      </c>
      <c r="C283" s="1003"/>
      <c r="D283" s="1003"/>
      <c r="E283" s="1003"/>
      <c r="F283" s="145" t="str">
        <f>IF(F259="","",MEDIAN(F259:F262,F266:F269))</f>
        <v/>
      </c>
      <c r="G283" s="145" t="str">
        <f t="shared" ref="G283:N283" si="168">IF(G259="","",MEDIAN(G259:G262,G266:G269))</f>
        <v/>
      </c>
      <c r="H283" s="145" t="str">
        <f t="shared" si="168"/>
        <v/>
      </c>
      <c r="I283" s="145" t="str">
        <f t="shared" si="168"/>
        <v/>
      </c>
      <c r="J283" s="145" t="str">
        <f t="shared" si="168"/>
        <v/>
      </c>
      <c r="K283" s="145" t="str">
        <f t="shared" si="168"/>
        <v/>
      </c>
      <c r="L283" s="145" t="str">
        <f t="shared" si="168"/>
        <v/>
      </c>
      <c r="M283" s="145" t="str">
        <f t="shared" si="168"/>
        <v/>
      </c>
      <c r="N283" s="146" t="str">
        <f t="shared" si="168"/>
        <v/>
      </c>
      <c r="O283" s="142"/>
      <c r="P283" s="142"/>
      <c r="Q283" s="142"/>
      <c r="R283" s="142"/>
      <c r="S283" s="142"/>
      <c r="T283" s="142"/>
      <c r="U283" s="142"/>
      <c r="V283" s="142"/>
      <c r="W283" s="142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35"/>
      <c r="AJ283" s="35"/>
      <c r="AK283" s="35"/>
      <c r="AL283" s="35"/>
    </row>
    <row r="284" spans="1:38" ht="33" customHeight="1" x14ac:dyDescent="0.25">
      <c r="A284" s="33"/>
      <c r="B284" s="939" t="s">
        <v>192</v>
      </c>
      <c r="C284" s="940"/>
      <c r="D284" s="940"/>
      <c r="E284" s="940"/>
      <c r="F284" s="987" t="str">
        <f>IF(F259="","",IF(AND(OR(O259=$AA$4,O259=""),OR(O260=$AA$4,O260=""),OR(O261=$AA$4,O261=""),OR(O262=$AA$4,O262=""),OR(O266=$AA$4,O266=""),OR(O267=$AA$4,O267=""),OR(O268=$AA$4,O268=""),OR(O269=$AA$4,O269=""),OR(F275&lt;=$H$14,F275=""),OR(F276&lt;=$H$14,F276=""),OR(F277&lt;=$H$14,F277=""),OR(F278&lt;=$H$14,F278="")),"Les échantillons sont stables", "Les échantillons ne sont pas stables;remplacer par d'autre résultats"))</f>
        <v/>
      </c>
      <c r="G284" s="987" t="str">
        <f t="shared" ref="G284" si="169">IF(G259="","",IF(AND(OR(P259=$AA$4,P259=""),OR(P260=$AA$4,P260=""),OR(P261=$AA$4,P261=""),OR(P262=$AA$4,P262=""),OR(P266=$AA$4,P266=""),OR(P267=$AA$4,P267=""),OR(P268=$AA$4,P268=""),OR(P269=$AA$4,P269=""),OR(G275&lt;=$H$14,G275=""),OR(G276&lt;=$H$14,G276=""),OR(G277&lt;=$H$14,G277=""),OR(G278&lt;=$H$14,G278="")),"Les échantillons sont stables", "Les échantillons ne sont pas stables;remplacer par d'autre résultats"))</f>
        <v/>
      </c>
      <c r="H284" s="987" t="str">
        <f t="shared" ref="H284" si="170">IF(H259="","",IF(AND(OR(Q259=$AA$4,Q259=""),OR(Q260=$AA$4,Q260=""),OR(Q261=$AA$4,Q261=""),OR(Q262=$AA$4,Q262=""),OR(Q266=$AA$4,Q266=""),OR(Q267=$AA$4,Q267=""),OR(Q268=$AA$4,Q268=""),OR(Q269=$AA$4,Q269=""),OR(H275&lt;=$H$14,H275=""),OR(H276&lt;=$H$14,H276=""),OR(H277&lt;=$H$14,H277=""),OR(H278&lt;=$H$14,H278="")),"Les échantillons sont stables", "Les échantillons ne sont pas stables;remplacer par d'autre résultats"))</f>
        <v/>
      </c>
      <c r="I284" s="987" t="str">
        <f t="shared" ref="I284" si="171">IF(I259="","",IF(AND(OR(R259=$AA$4,R259=""),OR(R260=$AA$4,R260=""),OR(R261=$AA$4,R261=""),OR(R262=$AA$4,R262=""),OR(R266=$AA$4,R266=""),OR(R267=$AA$4,R267=""),OR(R268=$AA$4,R268=""),OR(R269=$AA$4,R269=""),OR(I275&lt;=$H$14,I275=""),OR(I276&lt;=$H$14,I276=""),OR(I277&lt;=$H$14,I277=""),OR(I278&lt;=$H$14,I278="")),"Les échantillons sont stables", "Les échantillons ne sont pas stables;remplacer par d'autre résultats"))</f>
        <v/>
      </c>
      <c r="J284" s="987" t="str">
        <f t="shared" ref="J284" si="172">IF(J259="","",IF(AND(OR(S259=$AA$4,S259=""),OR(S260=$AA$4,S260=""),OR(S261=$AA$4,S261=""),OR(S262=$AA$4,S262=""),OR(S266=$AA$4,S266=""),OR(S267=$AA$4,S267=""),OR(S268=$AA$4,S268=""),OR(S269=$AA$4,S269=""),OR(J275&lt;=$H$14,J275=""),OR(J276&lt;=$H$14,J276=""),OR(J277&lt;=$H$14,J277=""),OR(J278&lt;=$H$14,J278="")),"Les échantillons sont stables", "Les échantillons ne sont pas stables;remplacer par d'autre résultats"))</f>
        <v/>
      </c>
      <c r="K284" s="987" t="str">
        <f t="shared" ref="K284" si="173">IF(K259="","",IF(AND(OR(T259=$AA$4,T259=""),OR(T260=$AA$4,T260=""),OR(T261=$AA$4,T261=""),OR(T262=$AA$4,T262=""),OR(T266=$AA$4,T266=""),OR(T267=$AA$4,T267=""),OR(T268=$AA$4,T268=""),OR(T269=$AA$4,T269=""),OR(K275&lt;=$H$14,K275=""),OR(K276&lt;=$H$14,K276=""),OR(K277&lt;=$H$14,K277=""),OR(K278&lt;=$H$14,K278="")),"Les échantillons sont stables", "Les échantillons ne sont pas stables;remplacer par d'autre résultats"))</f>
        <v/>
      </c>
      <c r="L284" s="987" t="str">
        <f t="shared" ref="L284" si="174">IF(L259="","",IF(AND(OR(U259=$AA$4,U259=""),OR(U260=$AA$4,U260=""),OR(U261=$AA$4,U261=""),OR(U262=$AA$4,U262=""),OR(U266=$AA$4,U266=""),OR(U267=$AA$4,U267=""),OR(U268=$AA$4,U268=""),OR(U269=$AA$4,U269=""),OR(L275&lt;=$H$14,L275=""),OR(L276&lt;=$H$14,L276=""),OR(L277&lt;=$H$14,L277=""),OR(L278&lt;=$H$14,L278="")),"Les échantillons sont stables", "Les échantillons ne sont pas stables;remplacer par d'autre résultats"))</f>
        <v/>
      </c>
      <c r="M284" s="987" t="str">
        <f t="shared" ref="M284" si="175">IF(M259="","",IF(AND(OR(V259=$AA$4,V259=""),OR(V260=$AA$4,V260=""),OR(V261=$AA$4,V261=""),OR(V262=$AA$4,V262=""),OR(V266=$AA$4,V266=""),OR(V267=$AA$4,V267=""),OR(V268=$AA$4,V268=""),OR(V269=$AA$4,V269=""),OR(M275&lt;=$H$14,M275=""),OR(M276&lt;=$H$14,M276=""),OR(M277&lt;=$H$14,M277=""),OR(M278&lt;=$H$14,M278="")),"Les échantillons sont stables", "Les échantillons ne sont pas stables;remplacer par d'autre résultats"))</f>
        <v/>
      </c>
      <c r="N284" s="989" t="str">
        <f>IF(N259="","",IF(AND(OR(W259=$AA$4,W259=""),OR(W260=$AA$4,W260=""),OR(W261=$AA$4,W261=""),OR(W262=$AA$4,W262=""),OR(W266=$AA$4,W266=""),OR(W267=$AA$4,W267=""),OR(W268=$AA$4,W268=""),OR(W269=$AA$4,W269=""),OR(N275&lt;=$H$14,N275=""),OR(N276&lt;=$H$14,N276=""),OR(N277&lt;=$H$14,N277=""),OR(N278&lt;=$H$14,N278="")),"Les échantillons sont stables", "Les échantillons ne sont pas stables;remplacer par d'autre résultats"))</f>
        <v/>
      </c>
      <c r="O284" s="142"/>
      <c r="P284" s="142"/>
      <c r="Q284" s="142"/>
      <c r="R284" s="142"/>
      <c r="S284" s="142"/>
      <c r="T284" s="142"/>
      <c r="U284" s="142"/>
      <c r="V284" s="142"/>
      <c r="W284" s="142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35"/>
      <c r="AJ284" s="35"/>
      <c r="AK284" s="35"/>
      <c r="AL284" s="35"/>
    </row>
    <row r="285" spans="1:38" ht="34.5" customHeight="1" x14ac:dyDescent="0.25">
      <c r="A285" s="33"/>
      <c r="B285" s="939"/>
      <c r="C285" s="940"/>
      <c r="D285" s="940"/>
      <c r="E285" s="940"/>
      <c r="F285" s="987"/>
      <c r="G285" s="987"/>
      <c r="H285" s="987"/>
      <c r="I285" s="987"/>
      <c r="J285" s="987"/>
      <c r="K285" s="987"/>
      <c r="L285" s="987"/>
      <c r="M285" s="987"/>
      <c r="N285" s="989"/>
      <c r="O285" s="142"/>
      <c r="P285" s="142"/>
      <c r="Q285" s="142"/>
      <c r="R285" s="142"/>
      <c r="S285" s="142"/>
      <c r="T285" s="142"/>
      <c r="U285" s="142"/>
      <c r="V285" s="142"/>
      <c r="W285" s="142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35"/>
      <c r="AJ285" s="35"/>
      <c r="AK285" s="35"/>
      <c r="AL285" s="35"/>
    </row>
    <row r="286" spans="1:38" ht="51" customHeight="1" x14ac:dyDescent="0.25">
      <c r="A286" s="33"/>
      <c r="B286" s="939"/>
      <c r="C286" s="940"/>
      <c r="D286" s="940"/>
      <c r="E286" s="940"/>
      <c r="F286" s="987"/>
      <c r="G286" s="987"/>
      <c r="H286" s="987"/>
      <c r="I286" s="987"/>
      <c r="J286" s="987"/>
      <c r="K286" s="987"/>
      <c r="L286" s="987"/>
      <c r="M286" s="987"/>
      <c r="N286" s="989"/>
      <c r="O286" s="142"/>
      <c r="P286" s="142"/>
      <c r="Q286" s="142"/>
      <c r="R286" s="142"/>
      <c r="S286" s="142"/>
      <c r="T286" s="142"/>
      <c r="U286" s="142"/>
      <c r="V286" s="142"/>
      <c r="W286" s="142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35"/>
      <c r="AJ286" s="35"/>
      <c r="AK286" s="35"/>
      <c r="AL286" s="35"/>
    </row>
    <row r="287" spans="1:38" ht="51" customHeight="1" thickBot="1" x14ac:dyDescent="0.3">
      <c r="A287" s="33"/>
      <c r="B287" s="1011" t="s">
        <v>228</v>
      </c>
      <c r="C287" s="1012"/>
      <c r="D287" s="1012"/>
      <c r="E287" s="1012"/>
      <c r="F287" s="129"/>
      <c r="G287" s="129"/>
      <c r="H287" s="129"/>
      <c r="I287" s="129"/>
      <c r="J287" s="129"/>
      <c r="K287" s="129"/>
      <c r="L287" s="129"/>
      <c r="M287" s="129"/>
      <c r="N287" s="130"/>
      <c r="O287" s="142"/>
      <c r="P287" s="142"/>
      <c r="Q287" s="142"/>
      <c r="R287" s="142"/>
      <c r="S287" s="142"/>
      <c r="T287" s="142"/>
      <c r="U287" s="142"/>
      <c r="V287" s="142"/>
      <c r="W287" s="142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35"/>
      <c r="AJ287" s="35"/>
      <c r="AK287" s="35"/>
      <c r="AL287" s="35"/>
    </row>
    <row r="288" spans="1:38" ht="23.25" customHeight="1" x14ac:dyDescent="0.25">
      <c r="A288" s="33"/>
      <c r="B288" s="33"/>
      <c r="C288" s="33"/>
      <c r="D288" s="33"/>
      <c r="E288" s="33"/>
      <c r="F288" s="151"/>
      <c r="G288" s="151"/>
      <c r="H288" s="151"/>
      <c r="I288" s="151"/>
      <c r="J288" s="151"/>
      <c r="K288" s="151"/>
      <c r="L288" s="151"/>
      <c r="M288" s="151"/>
      <c r="N288" s="151"/>
      <c r="O288" s="142"/>
      <c r="P288" s="142"/>
      <c r="Q288" s="142"/>
      <c r="R288" s="142"/>
      <c r="S288" s="142"/>
      <c r="T288" s="142"/>
      <c r="U288" s="142"/>
      <c r="V288" s="142"/>
      <c r="W288" s="142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35"/>
      <c r="AJ288" s="35"/>
      <c r="AK288" s="35"/>
      <c r="AL288" s="35"/>
    </row>
    <row r="289" spans="1:38" ht="23.25" customHeight="1" thickBot="1" x14ac:dyDescent="0.3">
      <c r="A289" s="3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142"/>
      <c r="P289" s="142"/>
      <c r="Q289" s="142"/>
      <c r="R289" s="142"/>
      <c r="S289" s="142"/>
      <c r="T289" s="142"/>
      <c r="U289" s="142"/>
      <c r="V289" s="142"/>
      <c r="W289" s="142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35"/>
      <c r="AJ289" s="35"/>
      <c r="AK289" s="35"/>
      <c r="AL289" s="35"/>
    </row>
    <row r="290" spans="1:38" ht="23.25" customHeight="1" x14ac:dyDescent="0.25">
      <c r="A290" s="33"/>
      <c r="B290" s="4"/>
      <c r="C290" s="4"/>
      <c r="D290" s="4"/>
      <c r="E290" s="4"/>
      <c r="F290" s="1017" t="s">
        <v>175</v>
      </c>
      <c r="G290" s="1013" t="s">
        <v>176</v>
      </c>
      <c r="H290" s="1013" t="s">
        <v>177</v>
      </c>
      <c r="I290" s="1013" t="s">
        <v>178</v>
      </c>
      <c r="J290" s="1013" t="s">
        <v>179</v>
      </c>
      <c r="K290" s="1013" t="s">
        <v>180</v>
      </c>
      <c r="L290" s="1013" t="s">
        <v>181</v>
      </c>
      <c r="M290" s="1013" t="s">
        <v>182</v>
      </c>
      <c r="N290" s="1015" t="s">
        <v>183</v>
      </c>
      <c r="O290" s="142"/>
      <c r="P290" s="142"/>
      <c r="Q290" s="142"/>
      <c r="R290" s="142"/>
      <c r="S290" s="142"/>
      <c r="T290" s="142"/>
      <c r="U290" s="142"/>
      <c r="V290" s="142"/>
      <c r="W290" s="142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35"/>
      <c r="AJ290" s="35"/>
      <c r="AK290" s="35"/>
      <c r="AL290" s="35"/>
    </row>
    <row r="291" spans="1:38" ht="25.5" customHeight="1" thickBot="1" x14ac:dyDescent="0.3">
      <c r="A291" s="33"/>
      <c r="B291" s="40"/>
      <c r="C291" s="40"/>
      <c r="D291" s="40"/>
      <c r="E291" s="40"/>
      <c r="F291" s="1018"/>
      <c r="G291" s="1014"/>
      <c r="H291" s="1014"/>
      <c r="I291" s="1014"/>
      <c r="J291" s="1014"/>
      <c r="K291" s="1014"/>
      <c r="L291" s="1014"/>
      <c r="M291" s="1014"/>
      <c r="N291" s="1016"/>
      <c r="O291" s="35"/>
      <c r="P291" s="35"/>
      <c r="Q291" s="35"/>
      <c r="R291" s="35"/>
      <c r="S291" s="35"/>
      <c r="T291" s="35"/>
      <c r="U291" s="35"/>
      <c r="V291" s="35"/>
      <c r="W291" s="35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</row>
    <row r="292" spans="1:38" ht="36.75" customHeight="1" x14ac:dyDescent="0.25">
      <c r="A292" s="33"/>
      <c r="B292" s="863" t="s">
        <v>193</v>
      </c>
      <c r="C292" s="828"/>
      <c r="D292" s="764" t="s">
        <v>131</v>
      </c>
      <c r="E292" s="764"/>
      <c r="F292" s="147" t="str">
        <f t="shared" ref="F292:N292" si="176">IF(F154="","",IF(ABS(F177-F69)&gt;$H$14, "Les échantillons ne sont pas stables", "Les échantillons sont stables"))</f>
        <v/>
      </c>
      <c r="G292" s="147" t="str">
        <f t="shared" si="176"/>
        <v/>
      </c>
      <c r="H292" s="147" t="str">
        <f t="shared" si="176"/>
        <v/>
      </c>
      <c r="I292" s="147" t="str">
        <f t="shared" si="176"/>
        <v/>
      </c>
      <c r="J292" s="147" t="str">
        <f t="shared" si="176"/>
        <v/>
      </c>
      <c r="K292" s="147" t="str">
        <f t="shared" si="176"/>
        <v/>
      </c>
      <c r="L292" s="147" t="str">
        <f t="shared" si="176"/>
        <v/>
      </c>
      <c r="M292" s="147" t="str">
        <f t="shared" si="176"/>
        <v/>
      </c>
      <c r="N292" s="148" t="str">
        <f t="shared" si="176"/>
        <v/>
      </c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</row>
    <row r="293" spans="1:38" ht="36.75" customHeight="1" x14ac:dyDescent="0.25">
      <c r="A293" s="33"/>
      <c r="B293" s="864"/>
      <c r="C293" s="829"/>
      <c r="D293" s="1008" t="s">
        <v>132</v>
      </c>
      <c r="E293" s="1008"/>
      <c r="F293" s="149" t="str">
        <f t="shared" ref="F293:N293" si="177">IF(F154="","",IF(ABS(F178-F70)&gt;$H$14, "Les échantillons ne sont pas stables", "Les échantillons sont stables"))</f>
        <v/>
      </c>
      <c r="G293" s="149" t="str">
        <f t="shared" si="177"/>
        <v/>
      </c>
      <c r="H293" s="149" t="str">
        <f t="shared" si="177"/>
        <v/>
      </c>
      <c r="I293" s="149" t="str">
        <f t="shared" si="177"/>
        <v/>
      </c>
      <c r="J293" s="149" t="str">
        <f t="shared" si="177"/>
        <v/>
      </c>
      <c r="K293" s="149" t="str">
        <f t="shared" si="177"/>
        <v/>
      </c>
      <c r="L293" s="149" t="str">
        <f t="shared" si="177"/>
        <v/>
      </c>
      <c r="M293" s="149" t="str">
        <f t="shared" si="177"/>
        <v/>
      </c>
      <c r="N293" s="150" t="str">
        <f t="shared" si="177"/>
        <v/>
      </c>
      <c r="O293" s="35"/>
      <c r="P293" s="35"/>
      <c r="Q293" s="35"/>
      <c r="R293" s="35"/>
      <c r="S293" s="35"/>
      <c r="T293" s="35"/>
      <c r="U293" s="35"/>
      <c r="V293" s="35"/>
      <c r="W293" s="35"/>
    </row>
    <row r="294" spans="1:38" ht="36.75" customHeight="1" x14ac:dyDescent="0.25">
      <c r="A294" s="33"/>
      <c r="B294" s="864" t="s">
        <v>194</v>
      </c>
      <c r="C294" s="829"/>
      <c r="D294" s="1008" t="s">
        <v>131</v>
      </c>
      <c r="E294" s="1008"/>
      <c r="F294" s="149" t="str">
        <f t="shared" ref="F294:N294" si="178">IF(F189="","",IF(ABS(F212-F69)&gt;$H$14, "Les échantillons ne sont pas stables", "Les échantillons sont stables"))</f>
        <v/>
      </c>
      <c r="G294" s="149" t="str">
        <f t="shared" si="178"/>
        <v/>
      </c>
      <c r="H294" s="149" t="str">
        <f t="shared" si="178"/>
        <v/>
      </c>
      <c r="I294" s="149" t="str">
        <f t="shared" si="178"/>
        <v/>
      </c>
      <c r="J294" s="149" t="str">
        <f t="shared" si="178"/>
        <v/>
      </c>
      <c r="K294" s="149" t="str">
        <f t="shared" si="178"/>
        <v/>
      </c>
      <c r="L294" s="149" t="str">
        <f t="shared" si="178"/>
        <v/>
      </c>
      <c r="M294" s="149" t="str">
        <f t="shared" si="178"/>
        <v/>
      </c>
      <c r="N294" s="150" t="str">
        <f t="shared" si="178"/>
        <v/>
      </c>
      <c r="O294" s="35"/>
      <c r="P294" s="35"/>
      <c r="Q294" s="35"/>
      <c r="R294" s="35"/>
      <c r="S294" s="35"/>
      <c r="T294" s="35"/>
      <c r="U294" s="35"/>
      <c r="V294" s="35"/>
      <c r="W294" s="35"/>
    </row>
    <row r="295" spans="1:38" ht="36.75" customHeight="1" x14ac:dyDescent="0.25">
      <c r="A295" s="33"/>
      <c r="B295" s="864"/>
      <c r="C295" s="829"/>
      <c r="D295" s="1008" t="s">
        <v>132</v>
      </c>
      <c r="E295" s="1008"/>
      <c r="F295" s="149" t="str">
        <f t="shared" ref="F295:N295" si="179">IF(F189="","",IF(ABS(F213-F70)&gt;$H$14, "Les échantillons ne sont pas stables", "Les échantillons sont stables"))</f>
        <v/>
      </c>
      <c r="G295" s="149" t="str">
        <f t="shared" si="179"/>
        <v/>
      </c>
      <c r="H295" s="149" t="str">
        <f t="shared" si="179"/>
        <v/>
      </c>
      <c r="I295" s="149" t="str">
        <f t="shared" si="179"/>
        <v/>
      </c>
      <c r="J295" s="149" t="str">
        <f t="shared" si="179"/>
        <v/>
      </c>
      <c r="K295" s="149" t="str">
        <f t="shared" si="179"/>
        <v/>
      </c>
      <c r="L295" s="149" t="str">
        <f t="shared" si="179"/>
        <v/>
      </c>
      <c r="M295" s="149" t="str">
        <f t="shared" si="179"/>
        <v/>
      </c>
      <c r="N295" s="150" t="str">
        <f t="shared" si="179"/>
        <v/>
      </c>
      <c r="O295" s="35"/>
      <c r="P295" s="35"/>
      <c r="Q295" s="35"/>
      <c r="R295" s="35"/>
      <c r="S295" s="35"/>
      <c r="T295" s="35"/>
      <c r="U295" s="35"/>
      <c r="V295" s="35"/>
      <c r="W295" s="35"/>
    </row>
    <row r="296" spans="1:38" ht="36.75" customHeight="1" x14ac:dyDescent="0.25">
      <c r="A296" s="33"/>
      <c r="B296" s="864" t="s">
        <v>195</v>
      </c>
      <c r="C296" s="829"/>
      <c r="D296" s="1008" t="s">
        <v>131</v>
      </c>
      <c r="E296" s="1008"/>
      <c r="F296" s="149" t="str">
        <f t="shared" ref="F296:N296" si="180">IF(F224="","",IF(ABS(F247-F69)&gt;$H$14, "Les échantillons ne sont pas stables", "Les échantillons sont stables"))</f>
        <v/>
      </c>
      <c r="G296" s="149" t="str">
        <f t="shared" si="180"/>
        <v/>
      </c>
      <c r="H296" s="149" t="str">
        <f t="shared" si="180"/>
        <v/>
      </c>
      <c r="I296" s="149" t="str">
        <f t="shared" si="180"/>
        <v/>
      </c>
      <c r="J296" s="149" t="str">
        <f t="shared" si="180"/>
        <v/>
      </c>
      <c r="K296" s="149" t="str">
        <f t="shared" si="180"/>
        <v/>
      </c>
      <c r="L296" s="149" t="str">
        <f t="shared" si="180"/>
        <v/>
      </c>
      <c r="M296" s="149" t="str">
        <f t="shared" si="180"/>
        <v/>
      </c>
      <c r="N296" s="150" t="str">
        <f t="shared" si="180"/>
        <v/>
      </c>
      <c r="O296" s="35"/>
      <c r="P296" s="35"/>
      <c r="Q296" s="35"/>
      <c r="R296" s="35"/>
      <c r="S296" s="35"/>
      <c r="T296" s="35"/>
      <c r="U296" s="35"/>
      <c r="V296" s="35"/>
      <c r="W296" s="35"/>
    </row>
    <row r="297" spans="1:38" ht="36.75" customHeight="1" x14ac:dyDescent="0.25">
      <c r="A297" s="33"/>
      <c r="B297" s="864"/>
      <c r="C297" s="829"/>
      <c r="D297" s="1008" t="s">
        <v>132</v>
      </c>
      <c r="E297" s="1008"/>
      <c r="F297" s="149" t="str">
        <f t="shared" ref="F297:N297" si="181">IF(F224="","",IF(ABS(F248-F70)&gt;$H$14, "Les échantillons ne sont pas stables", "Les échantillons sont stables"))</f>
        <v/>
      </c>
      <c r="G297" s="149" t="str">
        <f t="shared" si="181"/>
        <v/>
      </c>
      <c r="H297" s="149" t="str">
        <f t="shared" si="181"/>
        <v/>
      </c>
      <c r="I297" s="149" t="str">
        <f t="shared" si="181"/>
        <v/>
      </c>
      <c r="J297" s="149" t="str">
        <f t="shared" si="181"/>
        <v/>
      </c>
      <c r="K297" s="149" t="str">
        <f t="shared" si="181"/>
        <v/>
      </c>
      <c r="L297" s="149" t="str">
        <f t="shared" si="181"/>
        <v/>
      </c>
      <c r="M297" s="149" t="str">
        <f t="shared" si="181"/>
        <v/>
      </c>
      <c r="N297" s="150" t="str">
        <f t="shared" si="181"/>
        <v/>
      </c>
      <c r="O297" s="35"/>
      <c r="P297" s="35"/>
      <c r="Q297" s="35"/>
      <c r="R297" s="35"/>
      <c r="S297" s="35"/>
      <c r="T297" s="35"/>
      <c r="U297" s="35"/>
      <c r="V297" s="35"/>
      <c r="W297" s="35"/>
    </row>
    <row r="298" spans="1:38" ht="36.75" customHeight="1" x14ac:dyDescent="0.25">
      <c r="A298" s="33"/>
      <c r="B298" s="864" t="s">
        <v>243</v>
      </c>
      <c r="C298" s="829"/>
      <c r="D298" s="1008" t="s">
        <v>131</v>
      </c>
      <c r="E298" s="1008"/>
      <c r="F298" s="149" t="str">
        <f t="shared" ref="F298:N298" si="182">IF(F259="","",IF(ABS(F282-F69)&gt;$H$14, "Les échantillons ne sont pas stables", "Les échantillons sont stables"))</f>
        <v/>
      </c>
      <c r="G298" s="149" t="str">
        <f t="shared" si="182"/>
        <v/>
      </c>
      <c r="H298" s="149" t="str">
        <f t="shared" si="182"/>
        <v/>
      </c>
      <c r="I298" s="149" t="str">
        <f t="shared" si="182"/>
        <v/>
      </c>
      <c r="J298" s="149" t="str">
        <f t="shared" si="182"/>
        <v/>
      </c>
      <c r="K298" s="149" t="str">
        <f t="shared" si="182"/>
        <v/>
      </c>
      <c r="L298" s="149" t="str">
        <f t="shared" si="182"/>
        <v/>
      </c>
      <c r="M298" s="149" t="str">
        <f t="shared" si="182"/>
        <v/>
      </c>
      <c r="N298" s="150" t="str">
        <f t="shared" si="182"/>
        <v/>
      </c>
      <c r="O298" s="35"/>
      <c r="P298" s="35"/>
      <c r="Q298" s="35"/>
      <c r="R298" s="35"/>
      <c r="S298" s="35"/>
      <c r="T298" s="35"/>
      <c r="U298" s="35"/>
      <c r="V298" s="35"/>
      <c r="W298" s="35"/>
    </row>
    <row r="299" spans="1:38" ht="36.75" customHeight="1" x14ac:dyDescent="0.25">
      <c r="A299" s="33"/>
      <c r="B299" s="864"/>
      <c r="C299" s="829"/>
      <c r="D299" s="1008" t="s">
        <v>132</v>
      </c>
      <c r="E299" s="1008"/>
      <c r="F299" s="149" t="str">
        <f t="shared" ref="F299:N299" si="183">IF(F259="","",IF(ABS(F283-F70)&gt;$H$14, "Les échantillons ne sont pas stables", "Les échantillons sont stables"))</f>
        <v/>
      </c>
      <c r="G299" s="149" t="str">
        <f t="shared" si="183"/>
        <v/>
      </c>
      <c r="H299" s="149" t="str">
        <f t="shared" si="183"/>
        <v/>
      </c>
      <c r="I299" s="149" t="str">
        <f t="shared" si="183"/>
        <v/>
      </c>
      <c r="J299" s="149" t="str">
        <f t="shared" si="183"/>
        <v/>
      </c>
      <c r="K299" s="149" t="str">
        <f t="shared" si="183"/>
        <v/>
      </c>
      <c r="L299" s="149" t="str">
        <f t="shared" si="183"/>
        <v/>
      </c>
      <c r="M299" s="149" t="str">
        <f t="shared" si="183"/>
        <v/>
      </c>
      <c r="N299" s="150" t="str">
        <f t="shared" si="183"/>
        <v/>
      </c>
      <c r="O299" s="35"/>
      <c r="P299" s="35"/>
      <c r="Q299" s="35"/>
      <c r="R299" s="35"/>
      <c r="S299" s="35"/>
      <c r="T299" s="35"/>
      <c r="U299" s="35"/>
      <c r="V299" s="35"/>
      <c r="W299" s="35"/>
    </row>
    <row r="300" spans="1:38" ht="39" customHeight="1" x14ac:dyDescent="0.25">
      <c r="A300" s="33"/>
      <c r="B300" s="939" t="s">
        <v>245</v>
      </c>
      <c r="C300" s="940"/>
      <c r="D300" s="940"/>
      <c r="E300" s="940"/>
      <c r="F300" s="987" t="str">
        <f t="shared" ref="F300:N300" si="184">IF(F154="","", IF($H$12=$AA$1, F292, IF($H$12=$AA$2, F293)))</f>
        <v/>
      </c>
      <c r="G300" s="987" t="str">
        <f t="shared" si="184"/>
        <v/>
      </c>
      <c r="H300" s="987" t="str">
        <f t="shared" si="184"/>
        <v/>
      </c>
      <c r="I300" s="987" t="str">
        <f t="shared" si="184"/>
        <v/>
      </c>
      <c r="J300" s="987" t="str">
        <f t="shared" si="184"/>
        <v/>
      </c>
      <c r="K300" s="987" t="str">
        <f t="shared" si="184"/>
        <v/>
      </c>
      <c r="L300" s="987" t="str">
        <f t="shared" si="184"/>
        <v/>
      </c>
      <c r="M300" s="987" t="str">
        <f t="shared" si="184"/>
        <v/>
      </c>
      <c r="N300" s="989" t="str">
        <f t="shared" si="184"/>
        <v/>
      </c>
      <c r="O300" s="35"/>
      <c r="P300" s="35"/>
      <c r="Q300" s="35"/>
      <c r="R300" s="35"/>
      <c r="S300" s="35"/>
      <c r="T300" s="35"/>
      <c r="U300" s="35"/>
      <c r="V300" s="35"/>
      <c r="W300" s="35"/>
    </row>
    <row r="301" spans="1:38" ht="43.5" customHeight="1" x14ac:dyDescent="0.25">
      <c r="A301" s="33"/>
      <c r="B301" s="939"/>
      <c r="C301" s="940"/>
      <c r="D301" s="940"/>
      <c r="E301" s="940"/>
      <c r="F301" s="987"/>
      <c r="G301" s="987"/>
      <c r="H301" s="987"/>
      <c r="I301" s="987"/>
      <c r="J301" s="987"/>
      <c r="K301" s="987"/>
      <c r="L301" s="987"/>
      <c r="M301" s="987"/>
      <c r="N301" s="989"/>
      <c r="O301" s="35"/>
      <c r="P301" s="35"/>
      <c r="Q301" s="35"/>
      <c r="R301" s="35"/>
      <c r="S301" s="35"/>
      <c r="T301" s="35"/>
      <c r="U301" s="35"/>
      <c r="V301" s="35"/>
      <c r="W301" s="35"/>
    </row>
    <row r="302" spans="1:38" ht="38.25" customHeight="1" thickBot="1" x14ac:dyDescent="0.3">
      <c r="A302" s="33"/>
      <c r="B302" s="783"/>
      <c r="C302" s="784"/>
      <c r="D302" s="784"/>
      <c r="E302" s="784"/>
      <c r="F302" s="988"/>
      <c r="G302" s="988"/>
      <c r="H302" s="988"/>
      <c r="I302" s="988"/>
      <c r="J302" s="988"/>
      <c r="K302" s="988"/>
      <c r="L302" s="988"/>
      <c r="M302" s="988"/>
      <c r="N302" s="999"/>
      <c r="O302" s="35"/>
      <c r="P302" s="35"/>
      <c r="Q302" s="35"/>
      <c r="R302" s="35"/>
      <c r="S302" s="35"/>
      <c r="T302" s="35"/>
      <c r="U302" s="35"/>
      <c r="V302" s="35"/>
      <c r="W302" s="35"/>
    </row>
    <row r="303" spans="1:38" ht="23.25" x14ac:dyDescent="0.35">
      <c r="A303" s="33"/>
      <c r="B303" s="40"/>
      <c r="C303" s="40"/>
      <c r="D303" s="40"/>
      <c r="E303" s="40"/>
      <c r="F303" s="40"/>
      <c r="G303" s="8"/>
      <c r="H303" s="40"/>
      <c r="I303" s="40"/>
      <c r="J303" s="40"/>
      <c r="K303" s="40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</row>
    <row r="304" spans="1:38" ht="21.75" customHeight="1" thickBot="1" x14ac:dyDescent="0.3">
      <c r="A304" s="33"/>
      <c r="B304" s="35"/>
      <c r="C304" s="35"/>
      <c r="D304" s="35"/>
      <c r="E304" s="35"/>
      <c r="F304" s="35"/>
      <c r="G304" s="35"/>
      <c r="H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</row>
    <row r="305" spans="1:38" ht="22.5" customHeight="1" thickBot="1" x14ac:dyDescent="0.3">
      <c r="A305" s="33"/>
      <c r="B305" s="372" t="s">
        <v>257</v>
      </c>
      <c r="C305" s="373"/>
      <c r="D305" s="373"/>
      <c r="E305" s="373"/>
      <c r="F305" s="373"/>
      <c r="G305" s="373"/>
      <c r="H305" s="373"/>
      <c r="I305" s="373"/>
      <c r="J305" s="373"/>
      <c r="K305" s="373"/>
      <c r="L305" s="373"/>
      <c r="M305" s="373"/>
      <c r="N305" s="373"/>
      <c r="O305" s="373"/>
      <c r="P305" s="373"/>
      <c r="Q305" s="373"/>
      <c r="R305" s="373"/>
      <c r="S305" s="373"/>
      <c r="T305" s="374"/>
      <c r="U305" s="34"/>
    </row>
    <row r="306" spans="1:38" ht="21" customHeight="1" thickBot="1" x14ac:dyDescent="0.3">
      <c r="A306" s="33"/>
    </row>
    <row r="307" spans="1:38" ht="22.5" customHeight="1" x14ac:dyDescent="0.25">
      <c r="A307" s="33"/>
      <c r="B307" s="950" t="s">
        <v>32</v>
      </c>
      <c r="C307" s="951"/>
      <c r="D307" s="951"/>
      <c r="E307" s="834"/>
      <c r="F307" s="834"/>
      <c r="G307" s="1010"/>
      <c r="H307" s="152"/>
      <c r="I307" s="40"/>
      <c r="J307" s="40"/>
      <c r="K307" s="40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</row>
    <row r="308" spans="1:38" ht="32.25" customHeight="1" x14ac:dyDescent="0.25">
      <c r="A308" s="33"/>
      <c r="B308" s="945" t="s">
        <v>138</v>
      </c>
      <c r="C308" s="946"/>
      <c r="D308" s="946"/>
      <c r="E308" s="1009"/>
      <c r="F308" s="1009"/>
      <c r="G308" s="375"/>
      <c r="H308" s="152"/>
      <c r="I308" s="40"/>
      <c r="J308" s="40"/>
      <c r="K308" s="40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</row>
    <row r="309" spans="1:38" ht="35.25" customHeight="1" x14ac:dyDescent="0.25">
      <c r="A309" s="33"/>
      <c r="B309" s="945" t="s">
        <v>112</v>
      </c>
      <c r="C309" s="946"/>
      <c r="D309" s="946"/>
      <c r="E309" s="837" t="str">
        <f>IF(F322="","",COUNT(F322:F325))</f>
        <v/>
      </c>
      <c r="F309" s="837"/>
      <c r="G309" s="984"/>
      <c r="H309" s="152"/>
      <c r="I309" s="40"/>
      <c r="J309" s="40"/>
      <c r="K309" s="40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</row>
    <row r="310" spans="1:38" ht="25.5" customHeight="1" thickBot="1" x14ac:dyDescent="0.3">
      <c r="A310" s="33"/>
      <c r="B310" s="985" t="s">
        <v>16</v>
      </c>
      <c r="C310" s="986"/>
      <c r="D310" s="986"/>
      <c r="E310" s="837">
        <v>2</v>
      </c>
      <c r="F310" s="837"/>
      <c r="G310" s="984"/>
      <c r="H310" s="153"/>
      <c r="I310" s="154"/>
      <c r="J310" s="154"/>
      <c r="K310" s="40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</row>
    <row r="311" spans="1:38" ht="84" customHeight="1" thickBot="1" x14ac:dyDescent="0.3">
      <c r="A311" s="33"/>
      <c r="B311" s="982" t="s">
        <v>148</v>
      </c>
      <c r="C311" s="983"/>
      <c r="D311" s="983"/>
      <c r="E311" s="990"/>
      <c r="F311" s="990"/>
      <c r="G311" s="990"/>
      <c r="H311" s="991"/>
      <c r="I311" s="991"/>
      <c r="J311" s="992"/>
      <c r="K311" s="40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</row>
    <row r="312" spans="1:38" ht="16.5" thickBot="1" x14ac:dyDescent="0.3">
      <c r="A312" s="33"/>
      <c r="B312" s="174"/>
      <c r="C312" s="174"/>
      <c r="D312" s="174"/>
      <c r="E312" s="173"/>
      <c r="F312" s="173"/>
      <c r="G312" s="173"/>
      <c r="H312" s="173"/>
      <c r="I312" s="173"/>
      <c r="J312" s="173"/>
      <c r="K312" s="40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</row>
    <row r="313" spans="1:38" ht="18.75" x14ac:dyDescent="0.25">
      <c r="A313" s="33"/>
      <c r="B313" s="976" t="s">
        <v>223</v>
      </c>
      <c r="C313" s="977"/>
      <c r="D313" s="977"/>
      <c r="E313" s="977"/>
      <c r="F313" s="977"/>
      <c r="G313" s="977"/>
      <c r="H313" s="977"/>
      <c r="I313" s="977"/>
      <c r="J313" s="977"/>
      <c r="K313" s="977"/>
      <c r="L313" s="977"/>
      <c r="M313" s="977"/>
      <c r="N313" s="978"/>
      <c r="O313" s="35"/>
      <c r="P313" s="35"/>
      <c r="Q313" s="35"/>
      <c r="R313" s="35"/>
      <c r="S313" s="35"/>
      <c r="T313" s="35"/>
      <c r="U313" s="35"/>
      <c r="V313" s="35"/>
      <c r="W313" s="35"/>
    </row>
    <row r="314" spans="1:38" ht="30" x14ac:dyDescent="0.25">
      <c r="A314" s="33"/>
      <c r="B314" s="979"/>
      <c r="C314" s="980"/>
      <c r="D314" s="980"/>
      <c r="E314" s="981"/>
      <c r="F314" s="166" t="s">
        <v>175</v>
      </c>
      <c r="G314" s="166" t="s">
        <v>176</v>
      </c>
      <c r="H314" s="166" t="s">
        <v>177</v>
      </c>
      <c r="I314" s="166" t="s">
        <v>178</v>
      </c>
      <c r="J314" s="166" t="s">
        <v>179</v>
      </c>
      <c r="K314" s="166" t="s">
        <v>180</v>
      </c>
      <c r="L314" s="166" t="s">
        <v>181</v>
      </c>
      <c r="M314" s="166" t="s">
        <v>182</v>
      </c>
      <c r="N314" s="167" t="s">
        <v>183</v>
      </c>
      <c r="O314" s="35"/>
      <c r="P314" s="35"/>
      <c r="Q314" s="35"/>
      <c r="R314" s="35"/>
      <c r="S314" s="35"/>
      <c r="T314" s="35"/>
      <c r="U314" s="35"/>
      <c r="V314" s="35"/>
      <c r="W314" s="35"/>
    </row>
    <row r="315" spans="1:38" ht="15.75" x14ac:dyDescent="0.25">
      <c r="A315" s="33"/>
      <c r="B315" s="868" t="s">
        <v>224</v>
      </c>
      <c r="C315" s="869"/>
      <c r="D315" s="869"/>
      <c r="E315" s="869"/>
      <c r="F315" s="43" t="str">
        <f>IF(F69="","",F69)</f>
        <v/>
      </c>
      <c r="G315" s="43" t="str">
        <f t="shared" ref="G315:N315" si="185">IF(G69="","",G69)</f>
        <v/>
      </c>
      <c r="H315" s="43" t="str">
        <f t="shared" si="185"/>
        <v/>
      </c>
      <c r="I315" s="43" t="str">
        <f t="shared" si="185"/>
        <v/>
      </c>
      <c r="J315" s="43" t="str">
        <f t="shared" si="185"/>
        <v/>
      </c>
      <c r="K315" s="43" t="str">
        <f t="shared" si="185"/>
        <v/>
      </c>
      <c r="L315" s="43" t="str">
        <f t="shared" si="185"/>
        <v/>
      </c>
      <c r="M315" s="43" t="str">
        <f t="shared" si="185"/>
        <v/>
      </c>
      <c r="N315" s="47" t="str">
        <f t="shared" si="185"/>
        <v/>
      </c>
      <c r="O315" s="35"/>
      <c r="P315" s="35"/>
      <c r="Q315" s="35"/>
      <c r="R315" s="35"/>
      <c r="S315" s="35"/>
      <c r="T315" s="35"/>
      <c r="U315" s="35"/>
      <c r="V315" s="35"/>
      <c r="W315" s="35"/>
    </row>
    <row r="316" spans="1:38" ht="16.5" thickBot="1" x14ac:dyDescent="0.3">
      <c r="A316" s="33"/>
      <c r="B316" s="870" t="s">
        <v>225</v>
      </c>
      <c r="C316" s="871"/>
      <c r="D316" s="871"/>
      <c r="E316" s="871"/>
      <c r="F316" s="171" t="str">
        <f>IF(F70="","",F70)</f>
        <v/>
      </c>
      <c r="G316" s="171" t="str">
        <f t="shared" ref="G316:N316" si="186">IF(G70="","",G70)</f>
        <v/>
      </c>
      <c r="H316" s="171" t="str">
        <f t="shared" si="186"/>
        <v/>
      </c>
      <c r="I316" s="171" t="str">
        <f t="shared" si="186"/>
        <v/>
      </c>
      <c r="J316" s="171" t="str">
        <f t="shared" si="186"/>
        <v/>
      </c>
      <c r="K316" s="171" t="str">
        <f t="shared" si="186"/>
        <v/>
      </c>
      <c r="L316" s="171" t="str">
        <f t="shared" si="186"/>
        <v/>
      </c>
      <c r="M316" s="171" t="str">
        <f t="shared" si="186"/>
        <v/>
      </c>
      <c r="N316" s="48" t="str">
        <f t="shared" si="186"/>
        <v/>
      </c>
      <c r="O316" s="35"/>
      <c r="P316" s="35"/>
      <c r="Q316" s="35"/>
      <c r="R316" s="35"/>
      <c r="S316" s="35"/>
      <c r="T316" s="35"/>
      <c r="U316" s="35"/>
      <c r="V316" s="35"/>
      <c r="W316" s="35"/>
    </row>
    <row r="317" spans="1:38" ht="19.5" thickBot="1" x14ac:dyDescent="0.3">
      <c r="A317" s="33"/>
      <c r="B317" s="33"/>
      <c r="C317" s="33"/>
      <c r="D317" s="33"/>
      <c r="E317" s="33"/>
      <c r="F317" s="33"/>
      <c r="G317" s="17"/>
      <c r="H317" s="17"/>
      <c r="I317" s="17"/>
      <c r="J317" s="17"/>
      <c r="K317" s="17"/>
      <c r="L317" s="17"/>
      <c r="M317" s="17"/>
      <c r="N317" s="17"/>
      <c r="O317" s="142"/>
      <c r="P317" s="142"/>
      <c r="Q317" s="142"/>
      <c r="R317" s="142"/>
      <c r="S317" s="142"/>
      <c r="T317" s="142"/>
      <c r="U317" s="142"/>
      <c r="V317" s="142"/>
      <c r="W317" s="142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35"/>
      <c r="AJ317" s="35"/>
      <c r="AK317" s="35"/>
      <c r="AL317" s="35"/>
    </row>
    <row r="318" spans="1:38" ht="29.25" customHeight="1" thickBot="1" x14ac:dyDescent="0.3">
      <c r="A318" s="33"/>
      <c r="B318" s="1005" t="s">
        <v>129</v>
      </c>
      <c r="C318" s="1006"/>
      <c r="D318" s="1006"/>
      <c r="E318" s="1006"/>
      <c r="F318" s="1006"/>
      <c r="G318" s="1006"/>
      <c r="H318" s="1006"/>
      <c r="I318" s="1006"/>
      <c r="J318" s="1007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  <c r="AI318" s="35"/>
      <c r="AJ318" s="35"/>
      <c r="AK318" s="35"/>
      <c r="AL318" s="35"/>
    </row>
    <row r="319" spans="1:38" ht="18.75" x14ac:dyDescent="0.25">
      <c r="A319" s="33"/>
      <c r="B319" s="824" t="s">
        <v>28</v>
      </c>
      <c r="C319" s="825"/>
      <c r="D319" s="825" t="s">
        <v>122</v>
      </c>
      <c r="E319" s="825"/>
      <c r="F319" s="828" t="s">
        <v>0</v>
      </c>
      <c r="G319" s="828"/>
      <c r="H319" s="828"/>
      <c r="I319" s="828"/>
      <c r="J319" s="828"/>
      <c r="K319" s="828"/>
      <c r="L319" s="828"/>
      <c r="M319" s="828"/>
      <c r="N319" s="828"/>
      <c r="O319" s="828" t="s">
        <v>123</v>
      </c>
      <c r="P319" s="828"/>
      <c r="Q319" s="828"/>
      <c r="R319" s="828"/>
      <c r="S319" s="828"/>
      <c r="T319" s="828"/>
      <c r="U319" s="828"/>
      <c r="V319" s="828"/>
      <c r="W319" s="874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  <c r="AI319" s="35"/>
      <c r="AJ319" s="35"/>
      <c r="AK319" s="35"/>
      <c r="AL319" s="35"/>
    </row>
    <row r="320" spans="1:38" ht="18.75" x14ac:dyDescent="0.25">
      <c r="A320" s="33"/>
      <c r="B320" s="826"/>
      <c r="C320" s="827"/>
      <c r="D320" s="827"/>
      <c r="E320" s="827"/>
      <c r="F320" s="827" t="s">
        <v>175</v>
      </c>
      <c r="G320" s="827" t="s">
        <v>176</v>
      </c>
      <c r="H320" s="827" t="s">
        <v>177</v>
      </c>
      <c r="I320" s="827" t="s">
        <v>178</v>
      </c>
      <c r="J320" s="827" t="s">
        <v>179</v>
      </c>
      <c r="K320" s="827" t="s">
        <v>180</v>
      </c>
      <c r="L320" s="827" t="s">
        <v>181</v>
      </c>
      <c r="M320" s="827" t="s">
        <v>182</v>
      </c>
      <c r="N320" s="827" t="s">
        <v>183</v>
      </c>
      <c r="O320" s="827" t="s">
        <v>175</v>
      </c>
      <c r="P320" s="827" t="s">
        <v>176</v>
      </c>
      <c r="Q320" s="827" t="s">
        <v>177</v>
      </c>
      <c r="R320" s="827" t="s">
        <v>178</v>
      </c>
      <c r="S320" s="827" t="s">
        <v>179</v>
      </c>
      <c r="T320" s="827" t="s">
        <v>180</v>
      </c>
      <c r="U320" s="827" t="s">
        <v>181</v>
      </c>
      <c r="V320" s="827" t="s">
        <v>182</v>
      </c>
      <c r="W320" s="1004" t="s">
        <v>183</v>
      </c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  <c r="AI320" s="35"/>
      <c r="AJ320" s="35"/>
      <c r="AK320" s="35"/>
      <c r="AL320" s="35"/>
    </row>
    <row r="321" spans="1:38" ht="18.75" x14ac:dyDescent="0.25">
      <c r="A321" s="33"/>
      <c r="B321" s="826"/>
      <c r="C321" s="827"/>
      <c r="D321" s="827"/>
      <c r="E321" s="827"/>
      <c r="F321" s="827"/>
      <c r="G321" s="827"/>
      <c r="H321" s="827"/>
      <c r="I321" s="827"/>
      <c r="J321" s="827"/>
      <c r="K321" s="827"/>
      <c r="L321" s="827"/>
      <c r="M321" s="827"/>
      <c r="N321" s="827"/>
      <c r="O321" s="827"/>
      <c r="P321" s="827"/>
      <c r="Q321" s="827"/>
      <c r="R321" s="827"/>
      <c r="S321" s="827"/>
      <c r="T321" s="827"/>
      <c r="U321" s="827"/>
      <c r="V321" s="827"/>
      <c r="W321" s="1004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35"/>
      <c r="AJ321" s="35"/>
      <c r="AK321" s="35"/>
      <c r="AL321" s="35"/>
    </row>
    <row r="322" spans="1:38" ht="18.75" x14ac:dyDescent="0.25">
      <c r="A322" s="33"/>
      <c r="B322" s="746"/>
      <c r="C322" s="745"/>
      <c r="D322" s="745"/>
      <c r="E322" s="745"/>
      <c r="F322" s="127"/>
      <c r="G322" s="127"/>
      <c r="H322" s="127"/>
      <c r="I322" s="127"/>
      <c r="J322" s="127"/>
      <c r="K322" s="127"/>
      <c r="L322" s="127"/>
      <c r="M322" s="127"/>
      <c r="N322" s="127"/>
      <c r="O322" s="131" t="str">
        <f>IF(F322="","",IF(ABS(F322-$I$13)&gt;$H$14,"NOT OK", "OK"))</f>
        <v/>
      </c>
      <c r="P322" s="131" t="str">
        <f>IF(G322="","",IF(ABS(G322-$J$13)&gt;$H$14,"NOT OK", "OK"))</f>
        <v/>
      </c>
      <c r="Q322" s="131" t="str">
        <f>IF(H322="","",IF(ABS(H322-$K$13)&gt;$H$14,"NOT OK", "OK"))</f>
        <v/>
      </c>
      <c r="R322" s="131" t="str">
        <f>IF(I322="","",IF(ABS(I322-$L$13)&gt;$H$14,"NOT OK", "OK"))</f>
        <v/>
      </c>
      <c r="S322" s="131" t="str">
        <f>IF(J322="","",IF(ABS(J322-$M$13)&gt;$H$14,"NOT OK", "OK"))</f>
        <v/>
      </c>
      <c r="T322" s="131" t="str">
        <f>IF(K322="","",IF(ABS(K322-$N$13)&gt;$H$14,"NOT OK", "OK"))</f>
        <v/>
      </c>
      <c r="U322" s="131" t="str">
        <f>IF(L322="","",IF(ABS(L322-$O$13)&gt;$H$14,"NOT OK", "OK"))</f>
        <v/>
      </c>
      <c r="V322" s="131" t="str">
        <f>IF(M322="","",IF(ABS(M322-$P$13)&gt;$H$14,"NOT OK", "OK"))</f>
        <v/>
      </c>
      <c r="W322" s="132" t="str">
        <f>IF(N322="","",IF(ABS(N322-$Q$13)&gt;$H$14,"NOT OK", "OK"))</f>
        <v/>
      </c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  <c r="AI322" s="35"/>
      <c r="AJ322" s="35"/>
      <c r="AK322" s="35"/>
      <c r="AL322" s="35"/>
    </row>
    <row r="323" spans="1:38" ht="18.75" x14ac:dyDescent="0.25">
      <c r="A323" s="33"/>
      <c r="B323" s="746"/>
      <c r="C323" s="745"/>
      <c r="D323" s="745"/>
      <c r="E323" s="745"/>
      <c r="F323" s="127"/>
      <c r="G323" s="127"/>
      <c r="H323" s="127"/>
      <c r="I323" s="127"/>
      <c r="J323" s="127"/>
      <c r="K323" s="127"/>
      <c r="L323" s="127"/>
      <c r="M323" s="127"/>
      <c r="N323" s="127"/>
      <c r="O323" s="131" t="str">
        <f t="shared" ref="O323:O325" si="187">IF(F323="","",IF(ABS(F323-$I$13)&gt;$H$14,"NOT OK", "OK"))</f>
        <v/>
      </c>
      <c r="P323" s="131" t="str">
        <f t="shared" ref="P323:P325" si="188">IF(G323="","",IF(ABS(G323-$J$13)&gt;$H$14,"NOT OK", "OK"))</f>
        <v/>
      </c>
      <c r="Q323" s="131" t="str">
        <f t="shared" ref="Q323:Q325" si="189">IF(H323="","",IF(ABS(H323-$K$13)&gt;$H$14,"NOT OK", "OK"))</f>
        <v/>
      </c>
      <c r="R323" s="131" t="str">
        <f t="shared" ref="R323:R325" si="190">IF(I323="","",IF(ABS(I323-$L$13)&gt;$H$14,"NOT OK", "OK"))</f>
        <v/>
      </c>
      <c r="S323" s="131" t="str">
        <f t="shared" ref="S323:S325" si="191">IF(J323="","",IF(ABS(J323-$M$13)&gt;$H$14,"NOT OK", "OK"))</f>
        <v/>
      </c>
      <c r="T323" s="131" t="str">
        <f t="shared" ref="T323:T325" si="192">IF(K323="","",IF(ABS(K323-$N$13)&gt;$H$14,"NOT OK", "OK"))</f>
        <v/>
      </c>
      <c r="U323" s="131" t="str">
        <f t="shared" ref="U323:U325" si="193">IF(L323="","",IF(ABS(L323-$O$13)&gt;$H$14,"NOT OK", "OK"))</f>
        <v/>
      </c>
      <c r="V323" s="131" t="str">
        <f t="shared" ref="V323:V325" si="194">IF(M323="","",IF(ABS(M323-$P$13)&gt;$H$14,"NOT OK", "OK"))</f>
        <v/>
      </c>
      <c r="W323" s="132" t="str">
        <f t="shared" ref="W323:W324" si="195">IF(N323="","",IF(ABS(N323-$Q$13)&gt;$H$14,"NOT OK", "OK"))</f>
        <v/>
      </c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  <c r="AI323" s="35"/>
      <c r="AJ323" s="35"/>
      <c r="AK323" s="35"/>
      <c r="AL323" s="35"/>
    </row>
    <row r="324" spans="1:38" ht="18.75" x14ac:dyDescent="0.25">
      <c r="A324" s="33"/>
      <c r="B324" s="746"/>
      <c r="C324" s="745"/>
      <c r="D324" s="745"/>
      <c r="E324" s="745"/>
      <c r="F324" s="127"/>
      <c r="G324" s="127"/>
      <c r="H324" s="127"/>
      <c r="I324" s="127"/>
      <c r="J324" s="127"/>
      <c r="K324" s="127"/>
      <c r="L324" s="127"/>
      <c r="M324" s="127"/>
      <c r="N324" s="127"/>
      <c r="O324" s="131" t="str">
        <f t="shared" si="187"/>
        <v/>
      </c>
      <c r="P324" s="131" t="str">
        <f t="shared" si="188"/>
        <v/>
      </c>
      <c r="Q324" s="131" t="str">
        <f t="shared" si="189"/>
        <v/>
      </c>
      <c r="R324" s="131" t="str">
        <f t="shared" si="190"/>
        <v/>
      </c>
      <c r="S324" s="131" t="str">
        <f t="shared" si="191"/>
        <v/>
      </c>
      <c r="T324" s="131" t="str">
        <f t="shared" si="192"/>
        <v/>
      </c>
      <c r="U324" s="131" t="str">
        <f t="shared" si="193"/>
        <v/>
      </c>
      <c r="V324" s="131" t="str">
        <f t="shared" si="194"/>
        <v/>
      </c>
      <c r="W324" s="132" t="str">
        <f t="shared" si="195"/>
        <v/>
      </c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35"/>
      <c r="AJ324" s="35"/>
      <c r="AK324" s="35"/>
      <c r="AL324" s="35"/>
    </row>
    <row r="325" spans="1:38" ht="19.5" thickBot="1" x14ac:dyDescent="0.3">
      <c r="A325" s="33"/>
      <c r="B325" s="746"/>
      <c r="C325" s="745"/>
      <c r="D325" s="745"/>
      <c r="E325" s="745"/>
      <c r="F325" s="127"/>
      <c r="G325" s="127"/>
      <c r="H325" s="127"/>
      <c r="I325" s="127"/>
      <c r="J325" s="127"/>
      <c r="K325" s="127"/>
      <c r="L325" s="127"/>
      <c r="M325" s="127"/>
      <c r="N325" s="127"/>
      <c r="O325" s="133" t="str">
        <f t="shared" si="187"/>
        <v/>
      </c>
      <c r="P325" s="133" t="str">
        <f t="shared" si="188"/>
        <v/>
      </c>
      <c r="Q325" s="133" t="str">
        <f t="shared" si="189"/>
        <v/>
      </c>
      <c r="R325" s="133" t="str">
        <f t="shared" si="190"/>
        <v/>
      </c>
      <c r="S325" s="133" t="str">
        <f t="shared" si="191"/>
        <v/>
      </c>
      <c r="T325" s="133" t="str">
        <f t="shared" si="192"/>
        <v/>
      </c>
      <c r="U325" s="133" t="str">
        <f t="shared" si="193"/>
        <v/>
      </c>
      <c r="V325" s="133" t="str">
        <f t="shared" si="194"/>
        <v/>
      </c>
      <c r="W325" s="134" t="str">
        <f>IF(N325="","",IF(ABS(N325-$Q$13)&gt;$H$14,"NOT OK", "OK"))</f>
        <v/>
      </c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  <c r="AI325" s="35"/>
      <c r="AJ325" s="35"/>
      <c r="AK325" s="35"/>
      <c r="AL325" s="35"/>
    </row>
    <row r="326" spans="1:38" ht="18.75" x14ac:dyDescent="0.25">
      <c r="A326" s="33"/>
      <c r="B326" s="826" t="s">
        <v>28</v>
      </c>
      <c r="C326" s="827"/>
      <c r="D326" s="827" t="s">
        <v>185</v>
      </c>
      <c r="E326" s="827"/>
      <c r="F326" s="829" t="s">
        <v>1</v>
      </c>
      <c r="G326" s="829"/>
      <c r="H326" s="829"/>
      <c r="I326" s="829"/>
      <c r="J326" s="829"/>
      <c r="K326" s="829"/>
      <c r="L326" s="829"/>
      <c r="M326" s="829"/>
      <c r="N326" s="829"/>
      <c r="O326" s="829" t="s">
        <v>124</v>
      </c>
      <c r="P326" s="829"/>
      <c r="Q326" s="829"/>
      <c r="R326" s="829"/>
      <c r="S326" s="829"/>
      <c r="T326" s="829"/>
      <c r="U326" s="829"/>
      <c r="V326" s="829"/>
      <c r="W326" s="875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35"/>
      <c r="AJ326" s="35"/>
      <c r="AK326" s="35"/>
      <c r="AL326" s="35"/>
    </row>
    <row r="327" spans="1:38" ht="18.75" x14ac:dyDescent="0.25">
      <c r="A327" s="33"/>
      <c r="B327" s="826"/>
      <c r="C327" s="827"/>
      <c r="D327" s="827"/>
      <c r="E327" s="827"/>
      <c r="F327" s="827" t="s">
        <v>175</v>
      </c>
      <c r="G327" s="827" t="s">
        <v>176</v>
      </c>
      <c r="H327" s="827" t="s">
        <v>177</v>
      </c>
      <c r="I327" s="827" t="s">
        <v>178</v>
      </c>
      <c r="J327" s="827" t="s">
        <v>179</v>
      </c>
      <c r="K327" s="827" t="s">
        <v>180</v>
      </c>
      <c r="L327" s="827" t="s">
        <v>181</v>
      </c>
      <c r="M327" s="827" t="s">
        <v>182</v>
      </c>
      <c r="N327" s="827" t="s">
        <v>183</v>
      </c>
      <c r="O327" s="827" t="s">
        <v>175</v>
      </c>
      <c r="P327" s="827" t="s">
        <v>176</v>
      </c>
      <c r="Q327" s="827" t="s">
        <v>177</v>
      </c>
      <c r="R327" s="827" t="s">
        <v>178</v>
      </c>
      <c r="S327" s="827" t="s">
        <v>179</v>
      </c>
      <c r="T327" s="827" t="s">
        <v>180</v>
      </c>
      <c r="U327" s="827" t="s">
        <v>181</v>
      </c>
      <c r="V327" s="827" t="s">
        <v>182</v>
      </c>
      <c r="W327" s="1004" t="s">
        <v>183</v>
      </c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  <c r="AI327" s="35"/>
      <c r="AJ327" s="35"/>
      <c r="AK327" s="35"/>
      <c r="AL327" s="35"/>
    </row>
    <row r="328" spans="1:38" ht="18.75" x14ac:dyDescent="0.25">
      <c r="A328" s="33"/>
      <c r="B328" s="826"/>
      <c r="C328" s="827"/>
      <c r="D328" s="827"/>
      <c r="E328" s="827"/>
      <c r="F328" s="827"/>
      <c r="G328" s="827"/>
      <c r="H328" s="827"/>
      <c r="I328" s="827"/>
      <c r="J328" s="827"/>
      <c r="K328" s="827"/>
      <c r="L328" s="827"/>
      <c r="M328" s="827"/>
      <c r="N328" s="827"/>
      <c r="O328" s="827"/>
      <c r="P328" s="827"/>
      <c r="Q328" s="827"/>
      <c r="R328" s="827"/>
      <c r="S328" s="827"/>
      <c r="T328" s="827"/>
      <c r="U328" s="827"/>
      <c r="V328" s="827"/>
      <c r="W328" s="1004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  <c r="AI328" s="35"/>
      <c r="AJ328" s="35"/>
      <c r="AK328" s="35"/>
      <c r="AL328" s="35"/>
    </row>
    <row r="329" spans="1:38" ht="18.75" x14ac:dyDescent="0.25">
      <c r="A329" s="33"/>
      <c r="B329" s="746"/>
      <c r="C329" s="745"/>
      <c r="D329" s="745"/>
      <c r="E329" s="745"/>
      <c r="F329" s="127"/>
      <c r="G329" s="127"/>
      <c r="H329" s="127"/>
      <c r="I329" s="127"/>
      <c r="J329" s="127"/>
      <c r="K329" s="127"/>
      <c r="L329" s="127"/>
      <c r="M329" s="127"/>
      <c r="N329" s="127"/>
      <c r="O329" s="131" t="str">
        <f>IF(F329="","",IF(ABS(F329-$I$13)&gt;$H$14,"NOT OK", "OK"))</f>
        <v/>
      </c>
      <c r="P329" s="131" t="str">
        <f>IF(G329="","",IF(ABS(G329-$J$13)&gt;$H$14,"NOT OK", "OK"))</f>
        <v/>
      </c>
      <c r="Q329" s="131" t="str">
        <f>IF(H329="","",IF(ABS(H329-$K$13)&gt;$H$14,"NOT OK", "OK"))</f>
        <v/>
      </c>
      <c r="R329" s="131" t="str">
        <f>IF(I329="","",IF(ABS(I329-$L$13)&gt;$H$14,"NOT OK", "OK"))</f>
        <v/>
      </c>
      <c r="S329" s="131" t="str">
        <f>IF(J329="","",IF(ABS(J329-$M$13)&gt;$H$14,"NOT OK", "OK"))</f>
        <v/>
      </c>
      <c r="T329" s="131" t="str">
        <f>IF(K329="","",IF(ABS(K329-$N$13)&gt;$H$14,"NOT OK", "OK"))</f>
        <v/>
      </c>
      <c r="U329" s="131" t="str">
        <f>IF(L329="","",IF(ABS(L329-$O$13)&gt;$H$14,"NOT OK", "OK"))</f>
        <v/>
      </c>
      <c r="V329" s="131" t="str">
        <f>IF(M329="","",IF(ABS(M329-$P$13)&gt;$H$14,"NOT OK", "OK"))</f>
        <v/>
      </c>
      <c r="W329" s="132" t="str">
        <f>IF(N329="","",IF(ABS(N329-$Q$13)&gt;$H$14,"NOT OK", "OK"))</f>
        <v/>
      </c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  <c r="AI329" s="35"/>
      <c r="AJ329" s="35"/>
      <c r="AK329" s="35"/>
      <c r="AL329" s="35"/>
    </row>
    <row r="330" spans="1:38" ht="18.75" x14ac:dyDescent="0.25">
      <c r="A330" s="33"/>
      <c r="B330" s="746"/>
      <c r="C330" s="745"/>
      <c r="D330" s="745"/>
      <c r="E330" s="745"/>
      <c r="F330" s="127"/>
      <c r="G330" s="127"/>
      <c r="H330" s="127"/>
      <c r="I330" s="127"/>
      <c r="J330" s="127"/>
      <c r="K330" s="127"/>
      <c r="L330" s="127"/>
      <c r="M330" s="127"/>
      <c r="N330" s="127"/>
      <c r="O330" s="131" t="str">
        <f t="shared" ref="O330:O332" si="196">IF(F330="","",IF(ABS(F330-$I$13)&gt;$H$14,"NOT OK", "OK"))</f>
        <v/>
      </c>
      <c r="P330" s="131" t="str">
        <f t="shared" ref="P330:P332" si="197">IF(G330="","",IF(ABS(G330-$J$13)&gt;$H$14,"NOT OK", "OK"))</f>
        <v/>
      </c>
      <c r="Q330" s="131" t="str">
        <f t="shared" ref="Q330:Q332" si="198">IF(H330="","",IF(ABS(H330-$K$13)&gt;$H$14,"NOT OK", "OK"))</f>
        <v/>
      </c>
      <c r="R330" s="131" t="str">
        <f t="shared" ref="R330:R332" si="199">IF(I330="","",IF(ABS(I330-$L$13)&gt;$H$14,"NOT OK", "OK"))</f>
        <v/>
      </c>
      <c r="S330" s="131" t="str">
        <f t="shared" ref="S330:S332" si="200">IF(J330="","",IF(ABS(J330-$M$13)&gt;$H$14,"NOT OK", "OK"))</f>
        <v/>
      </c>
      <c r="T330" s="131" t="str">
        <f t="shared" ref="T330:T332" si="201">IF(K330="","",IF(ABS(K330-$N$13)&gt;$H$14,"NOT OK", "OK"))</f>
        <v/>
      </c>
      <c r="U330" s="131" t="str">
        <f t="shared" ref="U330:U332" si="202">IF(L330="","",IF(ABS(L330-$O$13)&gt;$H$14,"NOT OK", "OK"))</f>
        <v/>
      </c>
      <c r="V330" s="131" t="str">
        <f t="shared" ref="V330:V332" si="203">IF(M330="","",IF(ABS(M330-$P$13)&gt;$H$14,"NOT OK", "OK"))</f>
        <v/>
      </c>
      <c r="W330" s="132" t="str">
        <f t="shared" ref="W330:W331" si="204">IF(N330="","",IF(ABS(N330-$Q$13)&gt;$H$14,"NOT OK", "OK"))</f>
        <v/>
      </c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  <c r="AI330" s="35"/>
      <c r="AJ330" s="35"/>
      <c r="AK330" s="35"/>
      <c r="AL330" s="35"/>
    </row>
    <row r="331" spans="1:38" ht="18.75" x14ac:dyDescent="0.25">
      <c r="A331" s="33"/>
      <c r="B331" s="746"/>
      <c r="C331" s="745"/>
      <c r="D331" s="745"/>
      <c r="E331" s="745"/>
      <c r="F331" s="127"/>
      <c r="G331" s="127"/>
      <c r="H331" s="127"/>
      <c r="I331" s="127"/>
      <c r="J331" s="127"/>
      <c r="K331" s="127"/>
      <c r="L331" s="127"/>
      <c r="M331" s="127"/>
      <c r="N331" s="127"/>
      <c r="O331" s="131" t="str">
        <f t="shared" si="196"/>
        <v/>
      </c>
      <c r="P331" s="131" t="str">
        <f t="shared" si="197"/>
        <v/>
      </c>
      <c r="Q331" s="131" t="str">
        <f t="shared" si="198"/>
        <v/>
      </c>
      <c r="R331" s="131" t="str">
        <f t="shared" si="199"/>
        <v/>
      </c>
      <c r="S331" s="131" t="str">
        <f t="shared" si="200"/>
        <v/>
      </c>
      <c r="T331" s="131" t="str">
        <f t="shared" si="201"/>
        <v/>
      </c>
      <c r="U331" s="131" t="str">
        <f t="shared" si="202"/>
        <v/>
      </c>
      <c r="V331" s="131" t="str">
        <f t="shared" si="203"/>
        <v/>
      </c>
      <c r="W331" s="132" t="str">
        <f t="shared" si="204"/>
        <v/>
      </c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  <c r="AI331" s="35"/>
      <c r="AJ331" s="35"/>
      <c r="AK331" s="35"/>
      <c r="AL331" s="35"/>
    </row>
    <row r="332" spans="1:38" ht="19.5" thickBot="1" x14ac:dyDescent="0.3">
      <c r="A332" s="33"/>
      <c r="B332" s="805"/>
      <c r="C332" s="806"/>
      <c r="D332" s="806"/>
      <c r="E332" s="806"/>
      <c r="F332" s="128"/>
      <c r="G332" s="128"/>
      <c r="H332" s="128"/>
      <c r="I332" s="128"/>
      <c r="J332" s="128"/>
      <c r="K332" s="128"/>
      <c r="L332" s="128"/>
      <c r="M332" s="128"/>
      <c r="N332" s="128"/>
      <c r="O332" s="133" t="str">
        <f t="shared" si="196"/>
        <v/>
      </c>
      <c r="P332" s="133" t="str">
        <f t="shared" si="197"/>
        <v/>
      </c>
      <c r="Q332" s="133" t="str">
        <f t="shared" si="198"/>
        <v/>
      </c>
      <c r="R332" s="133" t="str">
        <f t="shared" si="199"/>
        <v/>
      </c>
      <c r="S332" s="133" t="str">
        <f t="shared" si="200"/>
        <v/>
      </c>
      <c r="T332" s="133" t="str">
        <f t="shared" si="201"/>
        <v/>
      </c>
      <c r="U332" s="133" t="str">
        <f t="shared" si="202"/>
        <v/>
      </c>
      <c r="V332" s="133" t="str">
        <f t="shared" si="203"/>
        <v/>
      </c>
      <c r="W332" s="134" t="str">
        <f>IF(N332="","",IF(ABS(N332-$Q$13)&gt;$H$14,"NOT OK", "OK"))</f>
        <v/>
      </c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35"/>
      <c r="AJ332" s="35"/>
      <c r="AK332" s="35"/>
      <c r="AL332" s="35"/>
    </row>
    <row r="333" spans="1:38" ht="18.75" x14ac:dyDescent="0.25">
      <c r="A333" s="33"/>
      <c r="B333" s="4"/>
      <c r="C333" s="4"/>
      <c r="D333" s="4"/>
      <c r="E333" s="4"/>
      <c r="F333" s="17"/>
      <c r="G333" s="17"/>
      <c r="H333" s="17"/>
      <c r="I333" s="17"/>
      <c r="J333" s="17"/>
      <c r="K333" s="17"/>
      <c r="L333" s="17"/>
      <c r="M333" s="17"/>
      <c r="N333" s="17"/>
      <c r="O333" s="142"/>
      <c r="P333" s="142"/>
      <c r="Q333" s="142"/>
      <c r="R333" s="142"/>
      <c r="S333" s="142"/>
      <c r="T333" s="142"/>
      <c r="U333" s="142"/>
      <c r="V333" s="142"/>
      <c r="W333" s="142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  <c r="AI333" s="35"/>
      <c r="AJ333" s="35"/>
      <c r="AK333" s="35"/>
      <c r="AL333" s="35"/>
    </row>
    <row r="334" spans="1:38" ht="19.5" customHeight="1" thickBot="1" x14ac:dyDescent="0.3">
      <c r="A334" s="33"/>
      <c r="B334" s="4"/>
      <c r="C334" s="4"/>
      <c r="D334" s="4"/>
      <c r="E334" s="4"/>
      <c r="F334" s="17"/>
      <c r="G334" s="17"/>
      <c r="H334" s="17"/>
      <c r="I334" s="17"/>
      <c r="J334" s="17"/>
      <c r="K334" s="17"/>
      <c r="L334" s="17"/>
      <c r="M334" s="17"/>
      <c r="N334" s="17"/>
      <c r="O334" s="142"/>
      <c r="P334" s="142"/>
      <c r="Q334" s="142"/>
      <c r="R334" s="142"/>
      <c r="S334" s="142"/>
      <c r="T334" s="142"/>
      <c r="U334" s="142"/>
      <c r="V334" s="142"/>
      <c r="W334" s="142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  <c r="AI334" s="35"/>
      <c r="AJ334" s="35"/>
      <c r="AK334" s="35"/>
      <c r="AL334" s="35"/>
    </row>
    <row r="335" spans="1:38" ht="23.25" customHeight="1" x14ac:dyDescent="0.25">
      <c r="A335" s="33"/>
      <c r="B335" s="4"/>
      <c r="C335" s="4"/>
      <c r="D335" s="4"/>
      <c r="E335" s="4"/>
      <c r="F335" s="863" t="s">
        <v>184</v>
      </c>
      <c r="G335" s="828"/>
      <c r="H335" s="828"/>
      <c r="I335" s="828"/>
      <c r="J335" s="828"/>
      <c r="K335" s="828"/>
      <c r="L335" s="828"/>
      <c r="M335" s="828"/>
      <c r="N335" s="874"/>
      <c r="O335" s="142"/>
      <c r="P335" s="142"/>
      <c r="Q335" s="142"/>
      <c r="R335" s="142"/>
      <c r="S335" s="142"/>
      <c r="T335" s="142"/>
      <c r="U335" s="142"/>
      <c r="V335" s="142"/>
      <c r="W335" s="142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  <c r="AI335" s="35"/>
      <c r="AJ335" s="35"/>
      <c r="AK335" s="35"/>
      <c r="AL335" s="35"/>
    </row>
    <row r="336" spans="1:38" ht="23.25" customHeight="1" x14ac:dyDescent="0.25">
      <c r="A336" s="33"/>
      <c r="B336" s="4"/>
      <c r="C336" s="4"/>
      <c r="D336" s="4"/>
      <c r="E336" s="4"/>
      <c r="F336" s="826" t="s">
        <v>175</v>
      </c>
      <c r="G336" s="827" t="s">
        <v>176</v>
      </c>
      <c r="H336" s="827" t="s">
        <v>177</v>
      </c>
      <c r="I336" s="827" t="s">
        <v>178</v>
      </c>
      <c r="J336" s="827" t="s">
        <v>179</v>
      </c>
      <c r="K336" s="827" t="s">
        <v>180</v>
      </c>
      <c r="L336" s="827" t="s">
        <v>181</v>
      </c>
      <c r="M336" s="827" t="s">
        <v>182</v>
      </c>
      <c r="N336" s="1004" t="s">
        <v>183</v>
      </c>
      <c r="O336" s="142"/>
      <c r="P336" s="142"/>
      <c r="Q336" s="142"/>
      <c r="R336" s="142"/>
      <c r="S336" s="142"/>
      <c r="T336" s="142"/>
      <c r="U336" s="142"/>
      <c r="V336" s="142"/>
      <c r="W336" s="142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  <c r="AI336" s="35"/>
      <c r="AJ336" s="35"/>
      <c r="AK336" s="35"/>
      <c r="AL336" s="35"/>
    </row>
    <row r="337" spans="1:38" ht="23.25" customHeight="1" x14ac:dyDescent="0.25">
      <c r="A337" s="33"/>
      <c r="B337" s="4"/>
      <c r="C337" s="4"/>
      <c r="D337" s="4"/>
      <c r="E337" s="4"/>
      <c r="F337" s="826"/>
      <c r="G337" s="827"/>
      <c r="H337" s="827"/>
      <c r="I337" s="827"/>
      <c r="J337" s="827"/>
      <c r="K337" s="827"/>
      <c r="L337" s="827"/>
      <c r="M337" s="827"/>
      <c r="N337" s="1004"/>
      <c r="O337" s="142"/>
      <c r="P337" s="142"/>
      <c r="Q337" s="142"/>
      <c r="R337" s="142"/>
      <c r="S337" s="142"/>
      <c r="T337" s="142"/>
      <c r="U337" s="142"/>
      <c r="V337" s="142"/>
      <c r="W337" s="142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  <c r="AI337" s="35"/>
      <c r="AJ337" s="35"/>
      <c r="AK337" s="35"/>
      <c r="AL337" s="35"/>
    </row>
    <row r="338" spans="1:38" ht="23.25" customHeight="1" x14ac:dyDescent="0.25">
      <c r="A338" s="33"/>
      <c r="B338" s="4"/>
      <c r="C338" s="4"/>
      <c r="D338" s="4"/>
      <c r="E338" s="4"/>
      <c r="F338" s="135" t="str">
        <f>IF(OR(F322="",F329=""),"",ABS(F322-F329))</f>
        <v/>
      </c>
      <c r="G338" s="136" t="str">
        <f t="shared" ref="G338:M338" si="205">IF(OR(G322="",G329=""),"",ABS(G322-G329))</f>
        <v/>
      </c>
      <c r="H338" s="136" t="str">
        <f t="shared" si="205"/>
        <v/>
      </c>
      <c r="I338" s="136" t="str">
        <f t="shared" si="205"/>
        <v/>
      </c>
      <c r="J338" s="136" t="str">
        <f t="shared" si="205"/>
        <v/>
      </c>
      <c r="K338" s="136" t="str">
        <f t="shared" si="205"/>
        <v/>
      </c>
      <c r="L338" s="136" t="str">
        <f t="shared" si="205"/>
        <v/>
      </c>
      <c r="M338" s="136" t="str">
        <f t="shared" si="205"/>
        <v/>
      </c>
      <c r="N338" s="137" t="str">
        <f>IF(OR(N322="",N329=""),"",ABS(N322-N329))</f>
        <v/>
      </c>
      <c r="O338" s="142"/>
      <c r="P338" s="142"/>
      <c r="Q338" s="142"/>
      <c r="R338" s="142"/>
      <c r="S338" s="142"/>
      <c r="T338" s="142"/>
      <c r="U338" s="142"/>
      <c r="V338" s="142"/>
      <c r="W338" s="142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  <c r="AI338" s="35"/>
      <c r="AJ338" s="35"/>
      <c r="AK338" s="35"/>
      <c r="AL338" s="35"/>
    </row>
    <row r="339" spans="1:38" ht="23.25" customHeight="1" x14ac:dyDescent="0.25">
      <c r="A339" s="33"/>
      <c r="B339" s="4"/>
      <c r="C339" s="4"/>
      <c r="D339" s="4"/>
      <c r="E339" s="4"/>
      <c r="F339" s="135" t="str">
        <f t="shared" ref="F339:F341" si="206">IF(OR(F323="",F330=""),"",ABS(F323-F330))</f>
        <v/>
      </c>
      <c r="G339" s="136" t="str">
        <f t="shared" ref="G339" si="207">IF(OR(G323="",G330=""),"",ABS(G323-G330))</f>
        <v/>
      </c>
      <c r="H339" s="136" t="str">
        <f t="shared" ref="H339" si="208">IF(OR(H323="",H330=""),"",ABS(H323-H330))</f>
        <v/>
      </c>
      <c r="I339" s="136" t="str">
        <f t="shared" ref="I339" si="209">IF(OR(I323="",I330=""),"",ABS(I323-I330))</f>
        <v/>
      </c>
      <c r="J339" s="136" t="str">
        <f t="shared" ref="J339" si="210">IF(OR(J323="",J330=""),"",ABS(J323-J330))</f>
        <v/>
      </c>
      <c r="K339" s="136" t="str">
        <f t="shared" ref="K339" si="211">IF(OR(K323="",K330=""),"",ABS(K323-K330))</f>
        <v/>
      </c>
      <c r="L339" s="136" t="str">
        <f t="shared" ref="L339" si="212">IF(OR(L323="",L330=""),"",ABS(L323-L330))</f>
        <v/>
      </c>
      <c r="M339" s="136" t="str">
        <f t="shared" ref="M339" si="213">IF(OR(M323="",M330=""),"",ABS(M323-M330))</f>
        <v/>
      </c>
      <c r="N339" s="137" t="str">
        <f t="shared" ref="N339:N341" si="214">IF(OR(N323="",N330=""),"",ABS(N323-N330))</f>
        <v/>
      </c>
      <c r="O339" s="142"/>
      <c r="P339" s="142"/>
      <c r="Q339" s="142"/>
      <c r="R339" s="142"/>
      <c r="S339" s="142"/>
      <c r="T339" s="142"/>
      <c r="U339" s="142"/>
      <c r="V339" s="142"/>
      <c r="W339" s="142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  <c r="AI339" s="35"/>
      <c r="AJ339" s="35"/>
      <c r="AK339" s="35"/>
      <c r="AL339" s="35"/>
    </row>
    <row r="340" spans="1:38" ht="23.25" customHeight="1" x14ac:dyDescent="0.25">
      <c r="A340" s="33"/>
      <c r="B340" s="4"/>
      <c r="C340" s="4"/>
      <c r="D340" s="4"/>
      <c r="E340" s="4"/>
      <c r="F340" s="135" t="str">
        <f t="shared" si="206"/>
        <v/>
      </c>
      <c r="G340" s="136" t="str">
        <f t="shared" ref="G340" si="215">IF(OR(G324="",G331=""),"",ABS(G324-G331))</f>
        <v/>
      </c>
      <c r="H340" s="136" t="str">
        <f t="shared" ref="H340" si="216">IF(OR(H324="",H331=""),"",ABS(H324-H331))</f>
        <v/>
      </c>
      <c r="I340" s="136" t="str">
        <f t="shared" ref="I340" si="217">IF(OR(I324="",I331=""),"",ABS(I324-I331))</f>
        <v/>
      </c>
      <c r="J340" s="136" t="str">
        <f t="shared" ref="J340" si="218">IF(OR(J324="",J331=""),"",ABS(J324-J331))</f>
        <v/>
      </c>
      <c r="K340" s="136" t="str">
        <f t="shared" ref="K340" si="219">IF(OR(K324="",K331=""),"",ABS(K324-K331))</f>
        <v/>
      </c>
      <c r="L340" s="136" t="str">
        <f t="shared" ref="L340" si="220">IF(OR(L324="",L331=""),"",ABS(L324-L331))</f>
        <v/>
      </c>
      <c r="M340" s="136" t="str">
        <f t="shared" ref="M340" si="221">IF(OR(M324="",M331=""),"",ABS(M324-M331))</f>
        <v/>
      </c>
      <c r="N340" s="137" t="str">
        <f t="shared" si="214"/>
        <v/>
      </c>
      <c r="O340" s="142"/>
      <c r="P340" s="142"/>
      <c r="Q340" s="142"/>
      <c r="R340" s="142"/>
      <c r="S340" s="142"/>
      <c r="T340" s="142"/>
      <c r="U340" s="142"/>
      <c r="V340" s="142"/>
      <c r="W340" s="142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  <c r="AI340" s="35"/>
      <c r="AJ340" s="35"/>
      <c r="AK340" s="35"/>
      <c r="AL340" s="35"/>
    </row>
    <row r="341" spans="1:38" ht="23.25" customHeight="1" thickBot="1" x14ac:dyDescent="0.3">
      <c r="A341" s="33"/>
      <c r="B341" s="4"/>
      <c r="C341" s="4"/>
      <c r="D341" s="4"/>
      <c r="E341" s="4"/>
      <c r="F341" s="138" t="str">
        <f t="shared" si="206"/>
        <v/>
      </c>
      <c r="G341" s="139" t="str">
        <f t="shared" ref="G341" si="222">IF(OR(G325="",G332=""),"",ABS(G325-G332))</f>
        <v/>
      </c>
      <c r="H341" s="139" t="str">
        <f t="shared" ref="H341" si="223">IF(OR(H325="",H332=""),"",ABS(H325-H332))</f>
        <v/>
      </c>
      <c r="I341" s="139" t="str">
        <f t="shared" ref="I341" si="224">IF(OR(I325="",I332=""),"",ABS(I325-I332))</f>
        <v/>
      </c>
      <c r="J341" s="139" t="str">
        <f t="shared" ref="J341" si="225">IF(OR(J325="",J332=""),"",ABS(J325-J332))</f>
        <v/>
      </c>
      <c r="K341" s="139" t="str">
        <f t="shared" ref="K341" si="226">IF(OR(K325="",K332=""),"",ABS(K325-K332))</f>
        <v/>
      </c>
      <c r="L341" s="139" t="str">
        <f t="shared" ref="L341" si="227">IF(OR(L325="",L332=""),"",ABS(L325-L332))</f>
        <v/>
      </c>
      <c r="M341" s="139" t="str">
        <f t="shared" ref="M341" si="228">IF(OR(M325="",M332=""),"",ABS(M325-M332))</f>
        <v/>
      </c>
      <c r="N341" s="140" t="str">
        <f t="shared" si="214"/>
        <v/>
      </c>
      <c r="O341" s="142"/>
      <c r="P341" s="142"/>
      <c r="Q341" s="142"/>
      <c r="R341" s="142"/>
      <c r="S341" s="142"/>
      <c r="T341" s="142"/>
      <c r="U341" s="142"/>
      <c r="V341" s="142"/>
      <c r="W341" s="142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  <c r="AI341" s="35"/>
      <c r="AJ341" s="35"/>
      <c r="AK341" s="35"/>
      <c r="AL341" s="35"/>
    </row>
    <row r="342" spans="1:38" ht="23.25" customHeight="1" thickBot="1" x14ac:dyDescent="0.3">
      <c r="A342" s="3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142"/>
      <c r="P342" s="142"/>
      <c r="Q342" s="142"/>
      <c r="R342" s="142"/>
      <c r="S342" s="142"/>
      <c r="T342" s="142"/>
      <c r="U342" s="142"/>
      <c r="V342" s="142"/>
      <c r="W342" s="142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  <c r="AI342" s="35"/>
      <c r="AJ342" s="35"/>
      <c r="AK342" s="35"/>
      <c r="AL342" s="35"/>
    </row>
    <row r="343" spans="1:38" ht="23.25" customHeight="1" x14ac:dyDescent="0.25">
      <c r="A343" s="33"/>
      <c r="B343" s="4"/>
      <c r="C343" s="4"/>
      <c r="D343" s="4"/>
      <c r="E343" s="4"/>
      <c r="F343" s="824" t="s">
        <v>175</v>
      </c>
      <c r="G343" s="825" t="s">
        <v>176</v>
      </c>
      <c r="H343" s="825" t="s">
        <v>177</v>
      </c>
      <c r="I343" s="825" t="s">
        <v>178</v>
      </c>
      <c r="J343" s="825" t="s">
        <v>179</v>
      </c>
      <c r="K343" s="825" t="s">
        <v>180</v>
      </c>
      <c r="L343" s="825" t="s">
        <v>181</v>
      </c>
      <c r="M343" s="825" t="s">
        <v>182</v>
      </c>
      <c r="N343" s="1019" t="s">
        <v>183</v>
      </c>
      <c r="O343" s="142"/>
      <c r="P343" s="142"/>
      <c r="Q343" s="142"/>
      <c r="R343" s="142"/>
      <c r="S343" s="142"/>
      <c r="T343" s="142"/>
      <c r="U343" s="142"/>
      <c r="V343" s="142"/>
      <c r="W343" s="142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  <c r="AI343" s="35"/>
      <c r="AJ343" s="35"/>
      <c r="AK343" s="35"/>
      <c r="AL343" s="35"/>
    </row>
    <row r="344" spans="1:38" ht="23.25" customHeight="1" thickBot="1" x14ac:dyDescent="0.3">
      <c r="A344" s="33"/>
      <c r="B344" s="4"/>
      <c r="C344" s="4"/>
      <c r="D344" s="4"/>
      <c r="E344" s="4"/>
      <c r="F344" s="1022"/>
      <c r="G344" s="1021"/>
      <c r="H344" s="1021"/>
      <c r="I344" s="1021"/>
      <c r="J344" s="1021"/>
      <c r="K344" s="1021"/>
      <c r="L344" s="1021"/>
      <c r="M344" s="1021"/>
      <c r="N344" s="1020"/>
      <c r="O344" s="142"/>
      <c r="P344" s="142"/>
      <c r="Q344" s="142"/>
      <c r="R344" s="142"/>
      <c r="S344" s="142"/>
      <c r="T344" s="142"/>
      <c r="U344" s="142"/>
      <c r="V344" s="142"/>
      <c r="W344" s="142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  <c r="AI344" s="35"/>
      <c r="AJ344" s="35"/>
      <c r="AK344" s="35"/>
      <c r="AL344" s="35"/>
    </row>
    <row r="345" spans="1:38" ht="23.25" customHeight="1" x14ac:dyDescent="0.25">
      <c r="A345" s="33"/>
      <c r="B345" s="762" t="s">
        <v>125</v>
      </c>
      <c r="C345" s="763"/>
      <c r="D345" s="763"/>
      <c r="E345" s="763"/>
      <c r="F345" s="143" t="str">
        <f>IF(F322="","",_xlfn.MODE.SNGL(F322:F325,F329:F332))</f>
        <v/>
      </c>
      <c r="G345" s="143" t="str">
        <f t="shared" ref="G345:N345" si="229">IF(G322="","",_xlfn.MODE.SNGL(G322:G325,G329:G332))</f>
        <v/>
      </c>
      <c r="H345" s="143" t="str">
        <f t="shared" si="229"/>
        <v/>
      </c>
      <c r="I345" s="143" t="str">
        <f t="shared" si="229"/>
        <v/>
      </c>
      <c r="J345" s="143" t="str">
        <f t="shared" si="229"/>
        <v/>
      </c>
      <c r="K345" s="143" t="str">
        <f t="shared" si="229"/>
        <v/>
      </c>
      <c r="L345" s="143" t="str">
        <f t="shared" si="229"/>
        <v/>
      </c>
      <c r="M345" s="143" t="str">
        <f t="shared" si="229"/>
        <v/>
      </c>
      <c r="N345" s="144" t="str">
        <f t="shared" si="229"/>
        <v/>
      </c>
      <c r="O345" s="142"/>
      <c r="P345" s="142"/>
      <c r="Q345" s="142"/>
      <c r="R345" s="142"/>
      <c r="S345" s="142"/>
      <c r="T345" s="142"/>
      <c r="U345" s="142"/>
      <c r="V345" s="142"/>
      <c r="W345" s="142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  <c r="AI345" s="35"/>
      <c r="AJ345" s="35"/>
      <c r="AK345" s="35"/>
      <c r="AL345" s="35"/>
    </row>
    <row r="346" spans="1:38" ht="23.25" customHeight="1" x14ac:dyDescent="0.25">
      <c r="A346" s="33"/>
      <c r="B346" s="1002" t="s">
        <v>126</v>
      </c>
      <c r="C346" s="1003"/>
      <c r="D346" s="1003"/>
      <c r="E346" s="1003"/>
      <c r="F346" s="145" t="str">
        <f>IF(F322="","",MEDIAN(F322:F325,F329:F332))</f>
        <v/>
      </c>
      <c r="G346" s="145" t="str">
        <f t="shared" ref="G346:N346" si="230">IF(G322="","",MEDIAN(G322:G325,G329:G332))</f>
        <v/>
      </c>
      <c r="H346" s="145" t="str">
        <f t="shared" si="230"/>
        <v/>
      </c>
      <c r="I346" s="145" t="str">
        <f t="shared" si="230"/>
        <v/>
      </c>
      <c r="J346" s="145" t="str">
        <f t="shared" si="230"/>
        <v/>
      </c>
      <c r="K346" s="145" t="str">
        <f t="shared" si="230"/>
        <v/>
      </c>
      <c r="L346" s="145" t="str">
        <f t="shared" si="230"/>
        <v/>
      </c>
      <c r="M346" s="145" t="str">
        <f t="shared" si="230"/>
        <v/>
      </c>
      <c r="N346" s="146" t="str">
        <f t="shared" si="230"/>
        <v/>
      </c>
      <c r="O346" s="142"/>
      <c r="P346" s="142"/>
      <c r="Q346" s="142"/>
      <c r="R346" s="142"/>
      <c r="S346" s="142"/>
      <c r="T346" s="142"/>
      <c r="U346" s="142"/>
      <c r="V346" s="142"/>
      <c r="W346" s="142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  <c r="AI346" s="35"/>
      <c r="AJ346" s="35"/>
      <c r="AK346" s="35"/>
      <c r="AL346" s="35"/>
    </row>
    <row r="347" spans="1:38" ht="42" customHeight="1" x14ac:dyDescent="0.25">
      <c r="A347" s="33"/>
      <c r="B347" s="939" t="s">
        <v>130</v>
      </c>
      <c r="C347" s="940"/>
      <c r="D347" s="940"/>
      <c r="E347" s="940"/>
      <c r="F347" s="987" t="str">
        <f>IF(F322="","",IF(AND(OR(O322=$AA$4,O322=""),OR(O323=$AA$4,O323=""),OR(O324=$AA$4,O324=""),OR(O325=$AA$4,O325=""),OR(O329=$AA$4,O329=""),OR(O330=$AA$4,O330=""),OR(O331=$AA$4,O331=""),OR(O332=$AA$4,O332=""),OR(F338&lt;=$H$14,F338=""),OR(F339&lt;=$H$14,F339=""),OR(F340&lt;=$H$14,F340=""),OR(F341&lt;=$H$14,F341="")),"Les échantillons sont stables", "Les échantillons ne sont pas stables;remplacer par d'autre résultats"))</f>
        <v/>
      </c>
      <c r="G347" s="987" t="str">
        <f>IF(G322="","",IF(AND(OR(P322=$AA$4,P322=""),OR(P323=$AA$4,P323=""),OR(P324=$AA$4,P324=""),OR(P325=$AA$4,P325=""),OR(P329=$AA$4,P329=""),OR(P330=$AA$4,P330=""),OR(P331=$AA$4,P331=""),OR(P332=$AA$4,P332=""),OR(G338&lt;=$H$14,G338=""),OR(G339&lt;=$H$14,G339=""),OR(G340&lt;=$H$14,G340=""),OR(G341&lt;=$H$14,G341="")),"Les échantillons sont stables", "Les échantillons ne sont pas stables;remplacer par d'autre résultats"))</f>
        <v/>
      </c>
      <c r="H347" s="987" t="str">
        <f t="shared" ref="H347" si="231">IF(H322="","",IF(AND(OR(Q322=$AA$4,Q322=""),OR(Q323=$AA$4,Q323=""),OR(Q324=$AA$4,Q324=""),OR(Q325=$AA$4,Q325=""),OR(Q329=$AA$4,Q329=""),OR(Q330=$AA$4,Q330=""),OR(Q331=$AA$4,Q331=""),OR(Q332=$AA$4,Q332=""),OR(H338&lt;=$H$14,H338=""),OR(H339&lt;=$H$14,H339=""),OR(H340&lt;=$H$14,H340=""),OR(H341&lt;=$H$14,H341="")),"Les échantillons sont stables", "Les échantillons ne sont pas stables;remplacer par d'autre résultats"))</f>
        <v/>
      </c>
      <c r="I347" s="987" t="str">
        <f t="shared" ref="I347" si="232">IF(I322="","",IF(AND(OR(R322=$AA$4,R322=""),OR(R323=$AA$4,R323=""),OR(R324=$AA$4,R324=""),OR(R325=$AA$4,R325=""),OR(R329=$AA$4,R329=""),OR(R330=$AA$4,R330=""),OR(R331=$AA$4,R331=""),OR(R332=$AA$4,R332=""),OR(I338&lt;=$H$14,I338=""),OR(I339&lt;=$H$14,I339=""),OR(I340&lt;=$H$14,I340=""),OR(I341&lt;=$H$14,I341="")),"Les échantillons sont stables", "Les échantillons ne sont pas stables;remplacer par d'autre résultats"))</f>
        <v/>
      </c>
      <c r="J347" s="987" t="str">
        <f t="shared" ref="J347" si="233">IF(J322="","",IF(AND(OR(S322=$AA$4,S322=""),OR(S323=$AA$4,S323=""),OR(S324=$AA$4,S324=""),OR(S325=$AA$4,S325=""),OR(S329=$AA$4,S329=""),OR(S330=$AA$4,S330=""),OR(S331=$AA$4,S331=""),OR(S332=$AA$4,S332=""),OR(J338&lt;=$H$14,J338=""),OR(J339&lt;=$H$14,J339=""),OR(J340&lt;=$H$14,J340=""),OR(J341&lt;=$H$14,J341="")),"Les échantillons sont stables", "Les échantillons ne sont pas stables;remplacer par d'autre résultats"))</f>
        <v/>
      </c>
      <c r="K347" s="987" t="str">
        <f t="shared" ref="K347" si="234">IF(K322="","",IF(AND(OR(T322=$AA$4,T322=""),OR(T323=$AA$4,T323=""),OR(T324=$AA$4,T324=""),OR(T325=$AA$4,T325=""),OR(T329=$AA$4,T329=""),OR(T330=$AA$4,T330=""),OR(T331=$AA$4,T331=""),OR(T332=$AA$4,T332=""),OR(K338&lt;=$H$14,K338=""),OR(K339&lt;=$H$14,K339=""),OR(K340&lt;=$H$14,K340=""),OR(K341&lt;=$H$14,K341="")),"Les échantillons sont stables", "Les échantillons ne sont pas stables;remplacer par d'autre résultats"))</f>
        <v/>
      </c>
      <c r="L347" s="987" t="str">
        <f t="shared" ref="L347" si="235">IF(L322="","",IF(AND(OR(U322=$AA$4,U322=""),OR(U323=$AA$4,U323=""),OR(U324=$AA$4,U324=""),OR(U325=$AA$4,U325=""),OR(U329=$AA$4,U329=""),OR(U330=$AA$4,U330=""),OR(U331=$AA$4,U331=""),OR(U332=$AA$4,U332=""),OR(L338&lt;=$H$14,L338=""),OR(L339&lt;=$H$14,L339=""),OR(L340&lt;=$H$14,L340=""),OR(L341&lt;=$H$14,L341="")),"Les échantillons sont stables", "Les échantillons ne sont pas stables;remplacer par d'autre résultats"))</f>
        <v/>
      </c>
      <c r="M347" s="987" t="str">
        <f t="shared" ref="M347" si="236">IF(M322="","",IF(AND(OR(V322=$AA$4,V322=""),OR(V323=$AA$4,V323=""),OR(V324=$AA$4,V324=""),OR(V325=$AA$4,V325=""),OR(V329=$AA$4,V329=""),OR(V330=$AA$4,V330=""),OR(V331=$AA$4,V331=""),OR(V332=$AA$4,V332=""),OR(M338&lt;=$H$14,M338=""),OR(M339&lt;=$H$14,M339=""),OR(M340&lt;=$H$14,M340=""),OR(M341&lt;=$H$14,M341="")),"Les échantillons sont stables", "Les échantillons ne sont pas stables;remplacer par d'autre résultats"))</f>
        <v/>
      </c>
      <c r="N347" s="989" t="str">
        <f>IF(N322="","",IF(AND(OR(W322=$AA$4,W322=""),OR(W323=$AA$4,W323=""),OR(W324=$AA$4,W324=""),OR(W325=$AA$4,W325=""),OR(W329=$AA$4,W329=""),OR(W330=$AA$4,W330=""),OR(W331=$AA$4,W331=""),OR(W332=$AA$4,W332=""),OR(N338&lt;=$H$14,N338=""),OR(N339&lt;=$H$14,N339=""),OR(N340&lt;=$H$14,N340=""),OR(N341&lt;=$H$14,N341="")),"Les échantillons sont stables", "Les échantillons ne sont pas stables;remplacer par d'autre résultats"))</f>
        <v/>
      </c>
      <c r="O347" s="142"/>
      <c r="P347" s="142"/>
      <c r="Q347" s="142"/>
      <c r="R347" s="142"/>
      <c r="S347" s="142"/>
      <c r="T347" s="142"/>
      <c r="U347" s="142"/>
      <c r="V347" s="142"/>
      <c r="W347" s="142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  <c r="AI347" s="35"/>
      <c r="AJ347" s="35"/>
      <c r="AK347" s="35"/>
      <c r="AL347" s="35"/>
    </row>
    <row r="348" spans="1:38" ht="42" customHeight="1" x14ac:dyDescent="0.25">
      <c r="A348" s="33"/>
      <c r="B348" s="939"/>
      <c r="C348" s="940"/>
      <c r="D348" s="940"/>
      <c r="E348" s="940"/>
      <c r="F348" s="987"/>
      <c r="G348" s="987"/>
      <c r="H348" s="987"/>
      <c r="I348" s="987"/>
      <c r="J348" s="987"/>
      <c r="K348" s="987"/>
      <c r="L348" s="987"/>
      <c r="M348" s="987"/>
      <c r="N348" s="989"/>
      <c r="O348" s="142"/>
      <c r="P348" s="142"/>
      <c r="Q348" s="142"/>
      <c r="R348" s="142"/>
      <c r="S348" s="142"/>
      <c r="T348" s="142"/>
      <c r="U348" s="142"/>
      <c r="V348" s="142"/>
      <c r="W348" s="142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  <c r="AI348" s="35"/>
      <c r="AJ348" s="35"/>
      <c r="AK348" s="35"/>
      <c r="AL348" s="35"/>
    </row>
    <row r="349" spans="1:38" ht="43.5" customHeight="1" x14ac:dyDescent="0.25">
      <c r="A349" s="33"/>
      <c r="B349" s="939"/>
      <c r="C349" s="940"/>
      <c r="D349" s="940"/>
      <c r="E349" s="940"/>
      <c r="F349" s="987"/>
      <c r="G349" s="987"/>
      <c r="H349" s="987"/>
      <c r="I349" s="987"/>
      <c r="J349" s="987"/>
      <c r="K349" s="987"/>
      <c r="L349" s="987"/>
      <c r="M349" s="987"/>
      <c r="N349" s="989"/>
      <c r="O349" s="142"/>
      <c r="P349" s="142"/>
      <c r="Q349" s="142"/>
      <c r="R349" s="142"/>
      <c r="S349" s="142"/>
      <c r="T349" s="142"/>
      <c r="U349" s="142"/>
      <c r="V349" s="142"/>
      <c r="W349" s="142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  <c r="AH349" s="83"/>
      <c r="AI349" s="35"/>
      <c r="AJ349" s="35"/>
      <c r="AK349" s="35"/>
      <c r="AL349" s="35"/>
    </row>
    <row r="350" spans="1:38" ht="43.5" customHeight="1" thickBot="1" x14ac:dyDescent="0.3">
      <c r="A350" s="33"/>
      <c r="B350" s="1011" t="s">
        <v>228</v>
      </c>
      <c r="C350" s="1012"/>
      <c r="D350" s="1012"/>
      <c r="E350" s="1012"/>
      <c r="F350" s="129"/>
      <c r="G350" s="129"/>
      <c r="H350" s="129"/>
      <c r="I350" s="129"/>
      <c r="J350" s="129"/>
      <c r="K350" s="129"/>
      <c r="L350" s="129"/>
      <c r="M350" s="129"/>
      <c r="N350" s="130"/>
      <c r="O350" s="142"/>
      <c r="P350" s="142"/>
      <c r="Q350" s="142"/>
      <c r="R350" s="142"/>
      <c r="S350" s="142"/>
      <c r="T350" s="142"/>
      <c r="U350" s="142"/>
      <c r="V350" s="142"/>
      <c r="W350" s="142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  <c r="AH350" s="83"/>
      <c r="AI350" s="35"/>
      <c r="AJ350" s="35"/>
      <c r="AK350" s="35"/>
      <c r="AL350" s="35"/>
    </row>
    <row r="351" spans="1:38" ht="23.25" customHeight="1" x14ac:dyDescent="0.25">
      <c r="A351" s="3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142"/>
      <c r="P351" s="142"/>
      <c r="Q351" s="142"/>
      <c r="R351" s="142"/>
      <c r="S351" s="142"/>
      <c r="T351" s="142"/>
      <c r="U351" s="142"/>
      <c r="V351" s="142"/>
      <c r="W351" s="142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  <c r="AI351" s="35"/>
      <c r="AJ351" s="35"/>
      <c r="AK351" s="35"/>
      <c r="AL351" s="35"/>
    </row>
    <row r="352" spans="1:38" ht="23.25" customHeight="1" thickBot="1" x14ac:dyDescent="0.3">
      <c r="A352" s="3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142"/>
      <c r="P352" s="142"/>
      <c r="Q352" s="142"/>
      <c r="R352" s="142"/>
      <c r="S352" s="142"/>
      <c r="T352" s="142"/>
      <c r="U352" s="142"/>
      <c r="V352" s="142"/>
      <c r="W352" s="142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35"/>
      <c r="AJ352" s="35"/>
      <c r="AK352" s="35"/>
      <c r="AL352" s="35"/>
    </row>
    <row r="353" spans="1:38" ht="23.25" customHeight="1" x14ac:dyDescent="0.25">
      <c r="A353" s="33"/>
      <c r="B353" s="4"/>
      <c r="C353" s="4"/>
      <c r="D353" s="4"/>
      <c r="E353" s="4"/>
      <c r="F353" s="824" t="s">
        <v>175</v>
      </c>
      <c r="G353" s="825" t="s">
        <v>176</v>
      </c>
      <c r="H353" s="825" t="s">
        <v>177</v>
      </c>
      <c r="I353" s="825" t="s">
        <v>178</v>
      </c>
      <c r="J353" s="825" t="s">
        <v>179</v>
      </c>
      <c r="K353" s="825" t="s">
        <v>180</v>
      </c>
      <c r="L353" s="825" t="s">
        <v>181</v>
      </c>
      <c r="M353" s="825" t="s">
        <v>182</v>
      </c>
      <c r="N353" s="1019" t="s">
        <v>183</v>
      </c>
      <c r="O353" s="142"/>
      <c r="P353" s="142"/>
      <c r="Q353" s="142"/>
      <c r="R353" s="142"/>
      <c r="S353" s="142"/>
      <c r="T353" s="142"/>
      <c r="U353" s="142"/>
      <c r="V353" s="142"/>
      <c r="W353" s="142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  <c r="AI353" s="35"/>
      <c r="AJ353" s="35"/>
      <c r="AK353" s="35"/>
      <c r="AL353" s="35"/>
    </row>
    <row r="354" spans="1:38" ht="25.5" customHeight="1" thickBot="1" x14ac:dyDescent="0.3">
      <c r="A354" s="33"/>
      <c r="B354" s="40"/>
      <c r="C354" s="40"/>
      <c r="D354" s="40"/>
      <c r="E354" s="40"/>
      <c r="F354" s="1000"/>
      <c r="G354" s="1001"/>
      <c r="H354" s="1001"/>
      <c r="I354" s="1001"/>
      <c r="J354" s="1001"/>
      <c r="K354" s="1001"/>
      <c r="L354" s="1001"/>
      <c r="M354" s="1001"/>
      <c r="N354" s="1029"/>
      <c r="O354" s="35"/>
      <c r="P354" s="35"/>
      <c r="Q354" s="35"/>
      <c r="R354" s="35"/>
      <c r="S354" s="35"/>
      <c r="T354" s="35"/>
      <c r="U354" s="35"/>
      <c r="V354" s="35"/>
      <c r="W354" s="35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</row>
    <row r="355" spans="1:38" ht="34.5" customHeight="1" x14ac:dyDescent="0.25">
      <c r="A355" s="33"/>
      <c r="B355" s="762" t="s">
        <v>131</v>
      </c>
      <c r="C355" s="763"/>
      <c r="D355" s="763"/>
      <c r="E355" s="763"/>
      <c r="F355" s="147" t="str">
        <f t="shared" ref="F355:N355" si="237">IF(F322="","",IF(ABS(F345-F69)&gt;$H$14, "Les échantillons ne sont pas stables", "Les échantillons sont stables"))</f>
        <v/>
      </c>
      <c r="G355" s="147" t="str">
        <f t="shared" si="237"/>
        <v/>
      </c>
      <c r="H355" s="147" t="str">
        <f t="shared" si="237"/>
        <v/>
      </c>
      <c r="I355" s="147" t="str">
        <f t="shared" si="237"/>
        <v/>
      </c>
      <c r="J355" s="147" t="str">
        <f t="shared" si="237"/>
        <v/>
      </c>
      <c r="K355" s="147" t="str">
        <f t="shared" si="237"/>
        <v/>
      </c>
      <c r="L355" s="147" t="str">
        <f t="shared" si="237"/>
        <v/>
      </c>
      <c r="M355" s="147" t="str">
        <f t="shared" si="237"/>
        <v/>
      </c>
      <c r="N355" s="148" t="str">
        <f t="shared" si="237"/>
        <v/>
      </c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</row>
    <row r="356" spans="1:38" ht="36.75" customHeight="1" x14ac:dyDescent="0.25">
      <c r="A356" s="33"/>
      <c r="B356" s="1002" t="s">
        <v>132</v>
      </c>
      <c r="C356" s="1003"/>
      <c r="D356" s="1003"/>
      <c r="E356" s="1003"/>
      <c r="F356" s="149" t="str">
        <f t="shared" ref="F356:N356" si="238">IF(F322="","",IF(ABS(F346-F70)&gt;$H$14, "Les échantillons ne sont pas stables", "Les échantillons sont stables"))</f>
        <v/>
      </c>
      <c r="G356" s="149" t="str">
        <f t="shared" si="238"/>
        <v/>
      </c>
      <c r="H356" s="149" t="str">
        <f t="shared" si="238"/>
        <v/>
      </c>
      <c r="I356" s="149" t="str">
        <f t="shared" si="238"/>
        <v/>
      </c>
      <c r="J356" s="149" t="str">
        <f t="shared" si="238"/>
        <v/>
      </c>
      <c r="K356" s="149" t="str">
        <f t="shared" si="238"/>
        <v/>
      </c>
      <c r="L356" s="149" t="str">
        <f t="shared" si="238"/>
        <v/>
      </c>
      <c r="M356" s="149" t="str">
        <f t="shared" si="238"/>
        <v/>
      </c>
      <c r="N356" s="150" t="str">
        <f t="shared" si="238"/>
        <v/>
      </c>
      <c r="O356" s="35"/>
      <c r="P356" s="35"/>
      <c r="Q356" s="35"/>
      <c r="R356" s="35"/>
      <c r="S356" s="35"/>
      <c r="T356" s="35"/>
      <c r="U356" s="35"/>
      <c r="V356" s="35"/>
      <c r="W356" s="35"/>
    </row>
    <row r="357" spans="1:38" ht="51.75" customHeight="1" x14ac:dyDescent="0.25">
      <c r="A357" s="33"/>
      <c r="B357" s="939" t="s">
        <v>150</v>
      </c>
      <c r="C357" s="940"/>
      <c r="D357" s="940"/>
      <c r="E357" s="940"/>
      <c r="F357" s="987" t="str">
        <f>IF(F322="","", IF($H$12=$AA$1, F355, IF($H$12=$AA$2, F356)))</f>
        <v/>
      </c>
      <c r="G357" s="987" t="str">
        <f t="shared" ref="G357:N357" si="239">IF(G322="","", IF($H$12=$AA$1, G355, IF($H$12=$AA$2, G356)))</f>
        <v/>
      </c>
      <c r="H357" s="987" t="str">
        <f t="shared" si="239"/>
        <v/>
      </c>
      <c r="I357" s="987" t="str">
        <f t="shared" si="239"/>
        <v/>
      </c>
      <c r="J357" s="987" t="str">
        <f t="shared" si="239"/>
        <v/>
      </c>
      <c r="K357" s="987" t="str">
        <f t="shared" si="239"/>
        <v/>
      </c>
      <c r="L357" s="987" t="str">
        <f t="shared" si="239"/>
        <v/>
      </c>
      <c r="M357" s="987" t="str">
        <f t="shared" si="239"/>
        <v/>
      </c>
      <c r="N357" s="989" t="str">
        <f t="shared" si="239"/>
        <v/>
      </c>
      <c r="O357" s="35"/>
      <c r="P357" s="35"/>
      <c r="Q357" s="35"/>
      <c r="R357" s="35"/>
      <c r="S357" s="35"/>
      <c r="T357" s="35"/>
      <c r="U357" s="35"/>
      <c r="V357" s="35"/>
      <c r="W357" s="35"/>
    </row>
    <row r="358" spans="1:38" ht="43.5" customHeight="1" x14ac:dyDescent="0.25">
      <c r="A358" s="33"/>
      <c r="B358" s="939"/>
      <c r="C358" s="940"/>
      <c r="D358" s="940"/>
      <c r="E358" s="940"/>
      <c r="F358" s="987"/>
      <c r="G358" s="987"/>
      <c r="H358" s="987"/>
      <c r="I358" s="987"/>
      <c r="J358" s="987"/>
      <c r="K358" s="987"/>
      <c r="L358" s="987"/>
      <c r="M358" s="987"/>
      <c r="N358" s="989"/>
      <c r="O358" s="35"/>
      <c r="P358" s="35"/>
      <c r="Q358" s="35"/>
      <c r="R358" s="35"/>
      <c r="S358" s="35"/>
      <c r="T358" s="35"/>
      <c r="U358" s="35"/>
      <c r="V358" s="35"/>
      <c r="W358" s="35"/>
    </row>
    <row r="359" spans="1:38" ht="50.25" customHeight="1" thickBot="1" x14ac:dyDescent="0.3">
      <c r="A359" s="33"/>
      <c r="B359" s="783"/>
      <c r="C359" s="784"/>
      <c r="D359" s="784"/>
      <c r="E359" s="784"/>
      <c r="F359" s="988"/>
      <c r="G359" s="988"/>
      <c r="H359" s="988"/>
      <c r="I359" s="988"/>
      <c r="J359" s="988"/>
      <c r="K359" s="988"/>
      <c r="L359" s="988"/>
      <c r="M359" s="988"/>
      <c r="N359" s="999"/>
      <c r="O359" s="35"/>
      <c r="P359" s="35"/>
      <c r="Q359" s="35"/>
      <c r="R359" s="35"/>
      <c r="S359" s="35"/>
      <c r="T359" s="35"/>
      <c r="U359" s="35"/>
      <c r="V359" s="35"/>
      <c r="W359" s="35"/>
    </row>
    <row r="360" spans="1:38" ht="27" customHeight="1" x14ac:dyDescent="0.25">
      <c r="A360" s="33"/>
      <c r="B360" s="155"/>
      <c r="C360" s="155"/>
      <c r="D360" s="155"/>
      <c r="E360" s="155"/>
      <c r="F360" s="155"/>
      <c r="G360" s="155"/>
      <c r="H360" s="15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</row>
    <row r="361" spans="1:38" ht="22.5" customHeight="1" thickBot="1" x14ac:dyDescent="0.3">
      <c r="A361" s="33"/>
      <c r="B361" s="63"/>
      <c r="C361" s="63"/>
      <c r="D361" s="63"/>
      <c r="E361" s="63"/>
      <c r="F361" s="63"/>
      <c r="G361" s="63"/>
      <c r="H361" s="63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</row>
    <row r="362" spans="1:38" ht="39" customHeight="1" thickBot="1" x14ac:dyDescent="0.3">
      <c r="A362" s="33"/>
      <c r="B362" s="448" t="s">
        <v>151</v>
      </c>
      <c r="C362" s="449"/>
      <c r="D362" s="449"/>
      <c r="E362" s="449"/>
      <c r="F362" s="449"/>
      <c r="G362" s="449"/>
      <c r="H362" s="449"/>
      <c r="I362" s="449"/>
      <c r="J362" s="449"/>
      <c r="K362" s="449"/>
      <c r="L362" s="449"/>
      <c r="M362" s="449"/>
      <c r="N362" s="449"/>
      <c r="O362" s="449"/>
      <c r="P362" s="449"/>
      <c r="Q362" s="449"/>
      <c r="R362" s="449"/>
      <c r="S362" s="449"/>
      <c r="T362" s="450"/>
      <c r="U362" s="34"/>
    </row>
    <row r="363" spans="1:38" ht="39" customHeight="1" thickBot="1" x14ac:dyDescent="0.3">
      <c r="A363" s="33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34"/>
    </row>
    <row r="364" spans="1:38" ht="54" customHeight="1" thickBot="1" x14ac:dyDescent="0.3">
      <c r="A364" s="33"/>
      <c r="B364" s="86"/>
      <c r="C364" s="86"/>
      <c r="D364" s="86"/>
      <c r="E364" s="86"/>
      <c r="F364" s="156" t="s">
        <v>175</v>
      </c>
      <c r="G364" s="157" t="s">
        <v>176</v>
      </c>
      <c r="H364" s="157" t="s">
        <v>177</v>
      </c>
      <c r="I364" s="157" t="s">
        <v>178</v>
      </c>
      <c r="J364" s="157" t="s">
        <v>179</v>
      </c>
      <c r="K364" s="157" t="s">
        <v>180</v>
      </c>
      <c r="L364" s="157" t="s">
        <v>181</v>
      </c>
      <c r="M364" s="157" t="s">
        <v>182</v>
      </c>
      <c r="N364" s="158" t="s">
        <v>183</v>
      </c>
      <c r="O364" s="86"/>
      <c r="P364" s="86"/>
      <c r="Q364" s="86"/>
      <c r="R364" s="86"/>
      <c r="S364" s="86"/>
      <c r="T364" s="86"/>
      <c r="U364" s="34"/>
    </row>
    <row r="365" spans="1:38" ht="123" customHeight="1" x14ac:dyDescent="0.25">
      <c r="A365" s="33"/>
      <c r="B365" s="1025" t="s">
        <v>127</v>
      </c>
      <c r="C365" s="1026"/>
      <c r="D365" s="1026"/>
      <c r="E365" s="1027"/>
      <c r="F365" s="159" t="str">
        <f t="shared" ref="F365:N365" si="240">F71</f>
        <v/>
      </c>
      <c r="G365" s="159" t="str">
        <f t="shared" si="240"/>
        <v/>
      </c>
      <c r="H365" s="159" t="str">
        <f t="shared" si="240"/>
        <v/>
      </c>
      <c r="I365" s="159" t="str">
        <f t="shared" si="240"/>
        <v/>
      </c>
      <c r="J365" s="159" t="str">
        <f t="shared" si="240"/>
        <v/>
      </c>
      <c r="K365" s="159" t="str">
        <f t="shared" si="240"/>
        <v/>
      </c>
      <c r="L365" s="159" t="str">
        <f t="shared" si="240"/>
        <v/>
      </c>
      <c r="M365" s="159" t="str">
        <f t="shared" si="240"/>
        <v/>
      </c>
      <c r="N365" s="160" t="str">
        <f t="shared" si="240"/>
        <v/>
      </c>
      <c r="O365" s="12"/>
      <c r="P365" s="12"/>
      <c r="Q365" s="12"/>
      <c r="R365" s="12"/>
      <c r="S365" s="12"/>
      <c r="T365" s="12"/>
    </row>
    <row r="366" spans="1:38" ht="84.75" customHeight="1" x14ac:dyDescent="0.25">
      <c r="A366" s="33"/>
      <c r="B366" s="993" t="s">
        <v>133</v>
      </c>
      <c r="C366" s="994"/>
      <c r="D366" s="994"/>
      <c r="E366" s="995"/>
      <c r="F366" s="161" t="str">
        <f>F131</f>
        <v/>
      </c>
      <c r="G366" s="161" t="str">
        <f t="shared" ref="G366:N366" si="241">G131</f>
        <v/>
      </c>
      <c r="H366" s="161" t="str">
        <f t="shared" si="241"/>
        <v/>
      </c>
      <c r="I366" s="161" t="str">
        <f t="shared" si="241"/>
        <v/>
      </c>
      <c r="J366" s="161" t="str">
        <f t="shared" si="241"/>
        <v/>
      </c>
      <c r="K366" s="161" t="str">
        <f t="shared" si="241"/>
        <v/>
      </c>
      <c r="L366" s="161" t="str">
        <f t="shared" si="241"/>
        <v/>
      </c>
      <c r="M366" s="161" t="str">
        <f t="shared" si="241"/>
        <v/>
      </c>
      <c r="N366" s="162" t="str">
        <f t="shared" si="241"/>
        <v/>
      </c>
      <c r="O366" s="12"/>
      <c r="P366" s="12"/>
      <c r="Q366" s="12"/>
      <c r="R366" s="12"/>
      <c r="S366" s="12"/>
      <c r="T366" s="12"/>
    </row>
    <row r="367" spans="1:38" ht="97.5" customHeight="1" x14ac:dyDescent="0.25">
      <c r="A367" s="33"/>
      <c r="B367" s="993" t="s">
        <v>146</v>
      </c>
      <c r="C367" s="994"/>
      <c r="D367" s="994"/>
      <c r="E367" s="995"/>
      <c r="F367" s="161" t="str">
        <f t="shared" ref="F367:N367" si="242">F300</f>
        <v/>
      </c>
      <c r="G367" s="161" t="str">
        <f t="shared" si="242"/>
        <v/>
      </c>
      <c r="H367" s="161" t="str">
        <f t="shared" si="242"/>
        <v/>
      </c>
      <c r="I367" s="161" t="str">
        <f t="shared" si="242"/>
        <v/>
      </c>
      <c r="J367" s="161" t="str">
        <f t="shared" si="242"/>
        <v/>
      </c>
      <c r="K367" s="161" t="str">
        <f t="shared" si="242"/>
        <v/>
      </c>
      <c r="L367" s="161" t="str">
        <f t="shared" si="242"/>
        <v/>
      </c>
      <c r="M367" s="161" t="str">
        <f t="shared" si="242"/>
        <v/>
      </c>
      <c r="N367" s="162" t="str">
        <f t="shared" si="242"/>
        <v/>
      </c>
      <c r="O367" s="12"/>
      <c r="P367" s="12"/>
      <c r="Q367" s="12"/>
      <c r="R367" s="12"/>
      <c r="S367" s="12"/>
      <c r="T367" s="12"/>
    </row>
    <row r="368" spans="1:38" ht="83.25" customHeight="1" x14ac:dyDescent="0.25">
      <c r="A368" s="33"/>
      <c r="B368" s="993" t="s">
        <v>150</v>
      </c>
      <c r="C368" s="994"/>
      <c r="D368" s="994"/>
      <c r="E368" s="995"/>
      <c r="F368" s="161" t="str">
        <f>F357</f>
        <v/>
      </c>
      <c r="G368" s="161" t="str">
        <f t="shared" ref="G368:N368" si="243">G357</f>
        <v/>
      </c>
      <c r="H368" s="161" t="str">
        <f t="shared" si="243"/>
        <v/>
      </c>
      <c r="I368" s="161" t="str">
        <f t="shared" si="243"/>
        <v/>
      </c>
      <c r="J368" s="161" t="str">
        <f t="shared" si="243"/>
        <v/>
      </c>
      <c r="K368" s="161" t="str">
        <f t="shared" si="243"/>
        <v/>
      </c>
      <c r="L368" s="161" t="str">
        <f t="shared" si="243"/>
        <v/>
      </c>
      <c r="M368" s="161" t="str">
        <f t="shared" si="243"/>
        <v/>
      </c>
      <c r="N368" s="162" t="str">
        <f t="shared" si="243"/>
        <v/>
      </c>
      <c r="O368" s="12"/>
      <c r="P368" s="12"/>
      <c r="Q368" s="12"/>
      <c r="R368" s="12"/>
      <c r="S368" s="12"/>
      <c r="T368" s="12"/>
    </row>
    <row r="369" spans="1:22" ht="118.5" customHeight="1" thickBot="1" x14ac:dyDescent="0.3">
      <c r="A369" s="33"/>
      <c r="B369" s="996" t="s">
        <v>152</v>
      </c>
      <c r="C369" s="997"/>
      <c r="D369" s="997"/>
      <c r="E369" s="998"/>
      <c r="F369" s="163" t="str">
        <f t="shared" ref="F369:N369" si="244">IF(F25="","",IF(AND(F365="Les échantillons sont homogènes", OR(F366="Les échantillons sont stables", F366=""),OR( F367="Les échantillons sont stables", F367=""),OR(F368="Les échantillons sont stables", F368="")), "Les échantillons sont homogènes et stables", "Les échantillons sont soit non homogène soit non stables"))</f>
        <v/>
      </c>
      <c r="G369" s="163" t="str">
        <f t="shared" si="244"/>
        <v/>
      </c>
      <c r="H369" s="163" t="str">
        <f t="shared" si="244"/>
        <v/>
      </c>
      <c r="I369" s="163" t="str">
        <f t="shared" si="244"/>
        <v/>
      </c>
      <c r="J369" s="163" t="str">
        <f t="shared" si="244"/>
        <v/>
      </c>
      <c r="K369" s="163" t="str">
        <f t="shared" si="244"/>
        <v/>
      </c>
      <c r="L369" s="163" t="str">
        <f t="shared" si="244"/>
        <v/>
      </c>
      <c r="M369" s="163" t="str">
        <f t="shared" si="244"/>
        <v/>
      </c>
      <c r="N369" s="164" t="str">
        <f t="shared" si="244"/>
        <v/>
      </c>
      <c r="O369" s="165"/>
      <c r="P369" s="165"/>
      <c r="Q369" s="165"/>
      <c r="R369" s="165"/>
      <c r="S369" s="165"/>
      <c r="T369" s="165"/>
    </row>
    <row r="370" spans="1:22" ht="118.5" customHeight="1" thickBot="1" x14ac:dyDescent="0.3">
      <c r="A370" s="33"/>
      <c r="B370" s="996" t="s">
        <v>256</v>
      </c>
      <c r="C370" s="997"/>
      <c r="D370" s="997"/>
      <c r="E370" s="998"/>
      <c r="F370" s="1030" t="str">
        <f>IF(F25="","",IF(AND(OR(F369="Les échantillons sont homogènes et stables",F369=""),OR(G369="Les échantillons sont homogènes et stables",G369=""),OR(H369="Les échantillons sont homogènes et stables",H369=""),OR(I369="Les échantillons sont homogènes et stables",I369=""),OR(J369="Les échantillons sont homogènes et stables",J369=""),OR(K369="Les échantillons sont homogènes et stables",K369=""),OR(L369="Les échantillons sont homogènes et stables",L369=""),OR(M369="Les échantillons sont homogènes et stables",M369=""),OR(N369="Les échantillons sont homogènes et stables",N369="")),"Les échantillons sont homogènes et stables. L'écart maximal toléré choisi est à utiliser pour évaluer la performance des participants","Les échantillons sont instables, une décision est prise suite à une réunion"))</f>
        <v/>
      </c>
      <c r="G370" s="1031"/>
      <c r="H370" s="1031"/>
      <c r="I370" s="1031"/>
      <c r="J370" s="1031"/>
      <c r="K370" s="1031"/>
      <c r="L370" s="1031"/>
      <c r="M370" s="1031"/>
      <c r="N370" s="1032"/>
      <c r="O370" s="165"/>
      <c r="P370" s="165"/>
      <c r="Q370" s="165"/>
      <c r="R370" s="165"/>
      <c r="S370" s="165"/>
      <c r="T370" s="165"/>
    </row>
    <row r="371" spans="1:22" ht="60.75" customHeight="1" thickBot="1" x14ac:dyDescent="0.3">
      <c r="A371" s="33"/>
      <c r="B371" s="996" t="s">
        <v>259</v>
      </c>
      <c r="C371" s="997"/>
      <c r="D371" s="997"/>
      <c r="E371" s="998"/>
      <c r="F371" s="1033"/>
      <c r="G371" s="1034"/>
      <c r="H371" s="1034"/>
      <c r="I371" s="1034"/>
      <c r="J371" s="1034"/>
      <c r="K371" s="1034"/>
      <c r="L371" s="1034"/>
      <c r="M371" s="1034"/>
      <c r="N371" s="1035"/>
    </row>
    <row r="372" spans="1:22" ht="21" customHeight="1" x14ac:dyDescent="0.25">
      <c r="A372" s="33"/>
    </row>
    <row r="373" spans="1:22" ht="21" customHeight="1" x14ac:dyDescent="0.25">
      <c r="A373" s="33"/>
    </row>
    <row r="374" spans="1:22" ht="21" customHeight="1" x14ac:dyDescent="0.25">
      <c r="A374" s="33"/>
    </row>
    <row r="375" spans="1:22" ht="21" customHeight="1" x14ac:dyDescent="0.25">
      <c r="A375" s="33"/>
    </row>
    <row r="376" spans="1:22" ht="21" customHeight="1" x14ac:dyDescent="0.25">
      <c r="A376" s="33"/>
    </row>
    <row r="377" spans="1:22" ht="21" customHeight="1" x14ac:dyDescent="0.25">
      <c r="A377" s="33"/>
    </row>
    <row r="378" spans="1:22" ht="24" customHeight="1" x14ac:dyDescent="0.25">
      <c r="B378" s="974" t="s">
        <v>196</v>
      </c>
      <c r="C378" s="975"/>
      <c r="D378" s="1028"/>
      <c r="E378" s="1028"/>
      <c r="F378" s="1028"/>
      <c r="K378" s="4"/>
      <c r="O378" s="771" t="s">
        <v>55</v>
      </c>
      <c r="P378" s="771"/>
      <c r="Q378" s="1024"/>
      <c r="R378" s="1024"/>
    </row>
    <row r="379" spans="1:22" ht="23.25" customHeight="1" x14ac:dyDescent="0.25">
      <c r="B379" s="963" t="s">
        <v>11</v>
      </c>
      <c r="C379" s="964"/>
      <c r="D379" s="1028"/>
      <c r="E379" s="1028"/>
      <c r="F379" s="1028"/>
      <c r="K379" s="4"/>
      <c r="O379" s="967" t="s">
        <v>11</v>
      </c>
      <c r="P379" s="967"/>
      <c r="Q379" s="1023"/>
      <c r="R379" s="1024"/>
    </row>
    <row r="380" spans="1:22" ht="46.5" customHeight="1" x14ac:dyDescent="0.25">
      <c r="B380" s="963" t="s">
        <v>12</v>
      </c>
      <c r="C380" s="964"/>
      <c r="D380" s="1028"/>
      <c r="E380" s="1028"/>
      <c r="F380" s="1028"/>
      <c r="K380" s="4"/>
      <c r="O380" s="967" t="s">
        <v>12</v>
      </c>
      <c r="P380" s="967"/>
      <c r="Q380" s="1024"/>
      <c r="R380" s="1024"/>
    </row>
    <row r="381" spans="1:22" ht="18.75" customHeight="1" x14ac:dyDescent="0.25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2"/>
      <c r="N381" s="5"/>
      <c r="P381" s="53"/>
      <c r="Q381" s="54"/>
    </row>
    <row r="382" spans="1:22" ht="18.75" customHeight="1" x14ac:dyDescent="0.25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2"/>
      <c r="N382" s="5"/>
      <c r="P382" s="53"/>
      <c r="Q382" s="54"/>
    </row>
    <row r="383" spans="1:22" ht="17.25" customHeight="1" x14ac:dyDescent="0.25">
      <c r="G383" s="55"/>
      <c r="I383" s="55"/>
    </row>
    <row r="384" spans="1:22" ht="15" customHeight="1" x14ac:dyDescent="0.25">
      <c r="B384" s="736" t="s">
        <v>13</v>
      </c>
      <c r="C384" s="737"/>
      <c r="D384" s="737"/>
      <c r="E384" s="737"/>
      <c r="F384" s="737"/>
      <c r="G384" s="737"/>
      <c r="H384" s="737"/>
      <c r="I384" s="737"/>
      <c r="J384" s="737"/>
      <c r="K384" s="737"/>
      <c r="L384" s="737"/>
      <c r="M384" s="737"/>
      <c r="N384" s="737"/>
      <c r="O384" s="737"/>
      <c r="P384" s="737"/>
      <c r="Q384" s="737"/>
      <c r="R384" s="737"/>
      <c r="S384" s="737"/>
      <c r="T384" s="737"/>
      <c r="U384" s="737"/>
      <c r="V384" s="738"/>
    </row>
    <row r="385" spans="2:22" x14ac:dyDescent="0.25">
      <c r="B385" s="739"/>
      <c r="C385" s="740"/>
      <c r="D385" s="740"/>
      <c r="E385" s="740"/>
      <c r="F385" s="740"/>
      <c r="G385" s="740"/>
      <c r="H385" s="740"/>
      <c r="I385" s="740"/>
      <c r="J385" s="740"/>
      <c r="K385" s="740"/>
      <c r="L385" s="740"/>
      <c r="M385" s="740"/>
      <c r="N385" s="740"/>
      <c r="O385" s="740"/>
      <c r="P385" s="740"/>
      <c r="Q385" s="740"/>
      <c r="R385" s="740"/>
      <c r="S385" s="740"/>
      <c r="T385" s="740"/>
      <c r="U385" s="740"/>
      <c r="V385" s="741"/>
    </row>
    <row r="386" spans="2:22" x14ac:dyDescent="0.25">
      <c r="B386" s="742"/>
      <c r="C386" s="743"/>
      <c r="D386" s="743"/>
      <c r="E386" s="743"/>
      <c r="F386" s="743"/>
      <c r="G386" s="743"/>
      <c r="H386" s="743"/>
      <c r="I386" s="743"/>
      <c r="J386" s="743"/>
      <c r="K386" s="743"/>
      <c r="L386" s="743"/>
      <c r="M386" s="743"/>
      <c r="N386" s="743"/>
      <c r="O386" s="743"/>
      <c r="P386" s="743"/>
      <c r="Q386" s="743"/>
      <c r="R386" s="743"/>
      <c r="S386" s="743"/>
      <c r="T386" s="743"/>
      <c r="U386" s="743"/>
      <c r="V386" s="744"/>
    </row>
  </sheetData>
  <sheetProtection algorithmName="SHA-512" hashValue="Zzv+41wlmIqDk4QQRxLUmezDFU+n+YzVgkC31kLZAcB1Emb8UTPcm2V2Ig+FuVFrWbvz7KNnC35FouY5tYhfZQ==" saltValue="jspvVgBUU2AGyo463Iey1A==" spinCount="100000" sheet="1" objects="1" scenarios="1"/>
  <mergeCells count="839">
    <mergeCell ref="D379:F379"/>
    <mergeCell ref="D380:F380"/>
    <mergeCell ref="B135:T135"/>
    <mergeCell ref="B80:T80"/>
    <mergeCell ref="B78:T78"/>
    <mergeCell ref="B350:E350"/>
    <mergeCell ref="F343:F344"/>
    <mergeCell ref="G343:G344"/>
    <mergeCell ref="H343:H344"/>
    <mergeCell ref="I343:I344"/>
    <mergeCell ref="J343:J344"/>
    <mergeCell ref="K343:K344"/>
    <mergeCell ref="L343:L344"/>
    <mergeCell ref="M343:M344"/>
    <mergeCell ref="N343:N344"/>
    <mergeCell ref="B252:E252"/>
    <mergeCell ref="F280:F281"/>
    <mergeCell ref="G280:G281"/>
    <mergeCell ref="H280:H281"/>
    <mergeCell ref="I280:I281"/>
    <mergeCell ref="J280:J281"/>
    <mergeCell ref="K280:K281"/>
    <mergeCell ref="L280:L281"/>
    <mergeCell ref="M280:M281"/>
    <mergeCell ref="F245:F246"/>
    <mergeCell ref="G245:G246"/>
    <mergeCell ref="H245:H246"/>
    <mergeCell ref="I245:I246"/>
    <mergeCell ref="J245:J246"/>
    <mergeCell ref="K245:K246"/>
    <mergeCell ref="L245:L246"/>
    <mergeCell ref="M245:M246"/>
    <mergeCell ref="N245:N246"/>
    <mergeCell ref="B217:E217"/>
    <mergeCell ref="F210:F211"/>
    <mergeCell ref="G210:G211"/>
    <mergeCell ref="H210:H211"/>
    <mergeCell ref="I210:I211"/>
    <mergeCell ref="J210:J211"/>
    <mergeCell ref="K210:K211"/>
    <mergeCell ref="L210:L211"/>
    <mergeCell ref="B185:J185"/>
    <mergeCell ref="B186:C188"/>
    <mergeCell ref="D186:E188"/>
    <mergeCell ref="F186:N186"/>
    <mergeCell ref="B191:C191"/>
    <mergeCell ref="B189:C189"/>
    <mergeCell ref="D189:E189"/>
    <mergeCell ref="B190:C190"/>
    <mergeCell ref="D190:E190"/>
    <mergeCell ref="B199:C199"/>
    <mergeCell ref="D199:E199"/>
    <mergeCell ref="F202:N202"/>
    <mergeCell ref="F203:F204"/>
    <mergeCell ref="G203:G204"/>
    <mergeCell ref="H203:H204"/>
    <mergeCell ref="F214:F216"/>
    <mergeCell ref="F175:F176"/>
    <mergeCell ref="G175:G176"/>
    <mergeCell ref="H175:H176"/>
    <mergeCell ref="I175:I176"/>
    <mergeCell ref="J175:J176"/>
    <mergeCell ref="K175:K176"/>
    <mergeCell ref="L175:L176"/>
    <mergeCell ref="M175:M176"/>
    <mergeCell ref="N175:N176"/>
    <mergeCell ref="B137:E137"/>
    <mergeCell ref="B138:E138"/>
    <mergeCell ref="B139:E139"/>
    <mergeCell ref="B140:E140"/>
    <mergeCell ref="B141:E141"/>
    <mergeCell ref="B142:E142"/>
    <mergeCell ref="B143:E143"/>
    <mergeCell ref="B76:E76"/>
    <mergeCell ref="B124:E124"/>
    <mergeCell ref="B85:D85"/>
    <mergeCell ref="E85:G85"/>
    <mergeCell ref="B82:D82"/>
    <mergeCell ref="E82:G82"/>
    <mergeCell ref="B83:D83"/>
    <mergeCell ref="E83:G83"/>
    <mergeCell ref="B84:D84"/>
    <mergeCell ref="E84:G84"/>
    <mergeCell ref="F143:H143"/>
    <mergeCell ref="F140:H140"/>
    <mergeCell ref="F141:H141"/>
    <mergeCell ref="F142:H142"/>
    <mergeCell ref="F137:H137"/>
    <mergeCell ref="F138:H138"/>
    <mergeCell ref="F139:H139"/>
    <mergeCell ref="B2:D4"/>
    <mergeCell ref="D6:S6"/>
    <mergeCell ref="B9:G9"/>
    <mergeCell ref="B14:G14"/>
    <mergeCell ref="B18:D18"/>
    <mergeCell ref="E18:G18"/>
    <mergeCell ref="B16:T16"/>
    <mergeCell ref="H9:Q9"/>
    <mergeCell ref="F117:F118"/>
    <mergeCell ref="G117:G118"/>
    <mergeCell ref="H117:H118"/>
    <mergeCell ref="I117:I118"/>
    <mergeCell ref="J117:J118"/>
    <mergeCell ref="K117:K118"/>
    <mergeCell ref="L117:L118"/>
    <mergeCell ref="M117:M118"/>
    <mergeCell ref="N117:N118"/>
    <mergeCell ref="B19:D19"/>
    <mergeCell ref="E19:G19"/>
    <mergeCell ref="B10:G10"/>
    <mergeCell ref="B11:G11"/>
    <mergeCell ref="B12:G13"/>
    <mergeCell ref="H12:H13"/>
    <mergeCell ref="H11:Q11"/>
    <mergeCell ref="H10:Q10"/>
    <mergeCell ref="H14:Q14"/>
    <mergeCell ref="M23:M24"/>
    <mergeCell ref="N23:N24"/>
    <mergeCell ref="O22:W22"/>
    <mergeCell ref="B20:D20"/>
    <mergeCell ref="E20:G20"/>
    <mergeCell ref="B22:C24"/>
    <mergeCell ref="D22:E24"/>
    <mergeCell ref="O23:O24"/>
    <mergeCell ref="P23:P24"/>
    <mergeCell ref="Q23:Q24"/>
    <mergeCell ref="R23:R24"/>
    <mergeCell ref="S23:S24"/>
    <mergeCell ref="T23:T24"/>
    <mergeCell ref="U23:U24"/>
    <mergeCell ref="V23:V24"/>
    <mergeCell ref="W23:W24"/>
    <mergeCell ref="B69:E69"/>
    <mergeCell ref="H38:H39"/>
    <mergeCell ref="B40:C40"/>
    <mergeCell ref="D40:E40"/>
    <mergeCell ref="B41:C41"/>
    <mergeCell ref="B30:C30"/>
    <mergeCell ref="D30:E30"/>
    <mergeCell ref="B31:C31"/>
    <mergeCell ref="D31:E31"/>
    <mergeCell ref="B32:C32"/>
    <mergeCell ref="D32:E32"/>
    <mergeCell ref="B48:C48"/>
    <mergeCell ref="D48:E48"/>
    <mergeCell ref="B49:C49"/>
    <mergeCell ref="D49:E49"/>
    <mergeCell ref="B45:C45"/>
    <mergeCell ref="D45:E45"/>
    <mergeCell ref="B46:C46"/>
    <mergeCell ref="D46:E46"/>
    <mergeCell ref="B47:C47"/>
    <mergeCell ref="D47:E47"/>
    <mergeCell ref="D41:E41"/>
    <mergeCell ref="B42:C42"/>
    <mergeCell ref="D42:E42"/>
    <mergeCell ref="B70:E70"/>
    <mergeCell ref="F71:F75"/>
    <mergeCell ref="B71:E75"/>
    <mergeCell ref="I71:I75"/>
    <mergeCell ref="J71:J75"/>
    <mergeCell ref="K71:K75"/>
    <mergeCell ref="L71:L75"/>
    <mergeCell ref="M71:M75"/>
    <mergeCell ref="N71:N75"/>
    <mergeCell ref="G71:G75"/>
    <mergeCell ref="H71:H75"/>
    <mergeCell ref="O151:W151"/>
    <mergeCell ref="B162:C162"/>
    <mergeCell ref="D162:E162"/>
    <mergeCell ref="B163:C163"/>
    <mergeCell ref="D163:E163"/>
    <mergeCell ref="B158:C160"/>
    <mergeCell ref="D158:E160"/>
    <mergeCell ref="B156:C156"/>
    <mergeCell ref="D156:E156"/>
    <mergeCell ref="B157:C157"/>
    <mergeCell ref="D157:E157"/>
    <mergeCell ref="H152:H153"/>
    <mergeCell ref="I152:I153"/>
    <mergeCell ref="B155:C155"/>
    <mergeCell ref="D155:E155"/>
    <mergeCell ref="F158:N158"/>
    <mergeCell ref="O158:W158"/>
    <mergeCell ref="V152:V153"/>
    <mergeCell ref="W152:W153"/>
    <mergeCell ref="B154:C154"/>
    <mergeCell ref="D154:E154"/>
    <mergeCell ref="P152:P153"/>
    <mergeCell ref="Q152:Q153"/>
    <mergeCell ref="R152:R153"/>
    <mergeCell ref="B365:E365"/>
    <mergeCell ref="B357:E359"/>
    <mergeCell ref="F357:F359"/>
    <mergeCell ref="G357:G359"/>
    <mergeCell ref="D378:F378"/>
    <mergeCell ref="N353:N354"/>
    <mergeCell ref="B355:E355"/>
    <mergeCell ref="B356:E356"/>
    <mergeCell ref="H357:H359"/>
    <mergeCell ref="B370:E370"/>
    <mergeCell ref="F370:N370"/>
    <mergeCell ref="B371:E371"/>
    <mergeCell ref="F371:N371"/>
    <mergeCell ref="B384:V386"/>
    <mergeCell ref="F22:N22"/>
    <mergeCell ref="F23:F24"/>
    <mergeCell ref="G23:G24"/>
    <mergeCell ref="H23:H24"/>
    <mergeCell ref="I23:I24"/>
    <mergeCell ref="J23:J24"/>
    <mergeCell ref="K23:K24"/>
    <mergeCell ref="L23:L24"/>
    <mergeCell ref="B379:C379"/>
    <mergeCell ref="O379:P379"/>
    <mergeCell ref="Q379:R379"/>
    <mergeCell ref="B380:C380"/>
    <mergeCell ref="O380:P380"/>
    <mergeCell ref="Q380:R380"/>
    <mergeCell ref="B378:C378"/>
    <mergeCell ref="B27:C27"/>
    <mergeCell ref="D27:E27"/>
    <mergeCell ref="B28:C28"/>
    <mergeCell ref="O378:P378"/>
    <mergeCell ref="Q378:R378"/>
    <mergeCell ref="B366:E366"/>
    <mergeCell ref="B367:E367"/>
    <mergeCell ref="B362:T362"/>
    <mergeCell ref="D28:E28"/>
    <mergeCell ref="B29:C29"/>
    <mergeCell ref="D29:E29"/>
    <mergeCell ref="B25:C25"/>
    <mergeCell ref="D25:E25"/>
    <mergeCell ref="B26:C26"/>
    <mergeCell ref="D26:E26"/>
    <mergeCell ref="B43:C43"/>
    <mergeCell ref="D43:E43"/>
    <mergeCell ref="B33:C33"/>
    <mergeCell ref="D33:E33"/>
    <mergeCell ref="B34:C34"/>
    <mergeCell ref="D34:E34"/>
    <mergeCell ref="B44:C44"/>
    <mergeCell ref="D44:E44"/>
    <mergeCell ref="I38:I39"/>
    <mergeCell ref="J38:J39"/>
    <mergeCell ref="K38:K39"/>
    <mergeCell ref="O37:W37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L38:L39"/>
    <mergeCell ref="M38:M39"/>
    <mergeCell ref="N38:N39"/>
    <mergeCell ref="B37:C39"/>
    <mergeCell ref="D37:E39"/>
    <mergeCell ref="F37:N37"/>
    <mergeCell ref="F38:F39"/>
    <mergeCell ref="G38:G39"/>
    <mergeCell ref="F52:N52"/>
    <mergeCell ref="F53:F54"/>
    <mergeCell ref="G53:G54"/>
    <mergeCell ref="H53:H54"/>
    <mergeCell ref="I53:I54"/>
    <mergeCell ref="J53:J54"/>
    <mergeCell ref="K53:K54"/>
    <mergeCell ref="L53:L54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M53:M54"/>
    <mergeCell ref="N53:N54"/>
    <mergeCell ref="O93:W93"/>
    <mergeCell ref="F94:F95"/>
    <mergeCell ref="G94:G95"/>
    <mergeCell ref="H94:H95"/>
    <mergeCell ref="D104:E104"/>
    <mergeCell ref="U94:U95"/>
    <mergeCell ref="V94:V95"/>
    <mergeCell ref="W94:W95"/>
    <mergeCell ref="K94:K95"/>
    <mergeCell ref="L94:L95"/>
    <mergeCell ref="M94:M95"/>
    <mergeCell ref="N94:N95"/>
    <mergeCell ref="O94:O95"/>
    <mergeCell ref="P94:P95"/>
    <mergeCell ref="Q94:Q95"/>
    <mergeCell ref="R94:R95"/>
    <mergeCell ref="P101:P102"/>
    <mergeCell ref="Q101:Q102"/>
    <mergeCell ref="R101:R102"/>
    <mergeCell ref="S101:S102"/>
    <mergeCell ref="T101:T102"/>
    <mergeCell ref="N110:N111"/>
    <mergeCell ref="H110:H111"/>
    <mergeCell ref="I110:I111"/>
    <mergeCell ref="J110:J111"/>
    <mergeCell ref="B104:C104"/>
    <mergeCell ref="B92:J92"/>
    <mergeCell ref="B93:C95"/>
    <mergeCell ref="D93:E95"/>
    <mergeCell ref="F93:N93"/>
    <mergeCell ref="B99:C99"/>
    <mergeCell ref="D99:E99"/>
    <mergeCell ref="D106:E106"/>
    <mergeCell ref="B96:C96"/>
    <mergeCell ref="D96:E96"/>
    <mergeCell ref="B97:C97"/>
    <mergeCell ref="D97:E97"/>
    <mergeCell ref="B98:C98"/>
    <mergeCell ref="D98:E98"/>
    <mergeCell ref="B100:C102"/>
    <mergeCell ref="D100:E102"/>
    <mergeCell ref="B103:C103"/>
    <mergeCell ref="D103:E103"/>
    <mergeCell ref="K110:K111"/>
    <mergeCell ref="L110:L111"/>
    <mergeCell ref="M127:M128"/>
    <mergeCell ref="N127:N128"/>
    <mergeCell ref="K131:K133"/>
    <mergeCell ref="L131:L133"/>
    <mergeCell ref="M131:M133"/>
    <mergeCell ref="N131:N133"/>
    <mergeCell ref="F127:F128"/>
    <mergeCell ref="G127:G128"/>
    <mergeCell ref="H127:H128"/>
    <mergeCell ref="I127:I128"/>
    <mergeCell ref="J127:J128"/>
    <mergeCell ref="K127:K128"/>
    <mergeCell ref="F131:F133"/>
    <mergeCell ref="G131:G133"/>
    <mergeCell ref="H131:H133"/>
    <mergeCell ref="I131:I133"/>
    <mergeCell ref="J131:J133"/>
    <mergeCell ref="B130:E130"/>
    <mergeCell ref="B131:E133"/>
    <mergeCell ref="B106:C106"/>
    <mergeCell ref="G110:G111"/>
    <mergeCell ref="I94:I95"/>
    <mergeCell ref="J94:J95"/>
    <mergeCell ref="S94:S95"/>
    <mergeCell ref="T94:T95"/>
    <mergeCell ref="O100:W100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N101:N102"/>
    <mergeCell ref="F100:N100"/>
    <mergeCell ref="U101:U102"/>
    <mergeCell ref="V101:V102"/>
    <mergeCell ref="W101:W102"/>
    <mergeCell ref="O101:O102"/>
    <mergeCell ref="L127:L128"/>
    <mergeCell ref="M110:M111"/>
    <mergeCell ref="B105:C105"/>
    <mergeCell ref="D105:E105"/>
    <mergeCell ref="F109:N109"/>
    <mergeCell ref="F110:F111"/>
    <mergeCell ref="B150:J150"/>
    <mergeCell ref="B151:C153"/>
    <mergeCell ref="D151:E153"/>
    <mergeCell ref="F151:N151"/>
    <mergeCell ref="F152:F153"/>
    <mergeCell ref="G152:G153"/>
    <mergeCell ref="I121:I123"/>
    <mergeCell ref="J121:J123"/>
    <mergeCell ref="K121:K123"/>
    <mergeCell ref="L121:L123"/>
    <mergeCell ref="M121:M123"/>
    <mergeCell ref="N121:N123"/>
    <mergeCell ref="B119:E119"/>
    <mergeCell ref="B120:E120"/>
    <mergeCell ref="B121:E123"/>
    <mergeCell ref="F121:F123"/>
    <mergeCell ref="G121:G123"/>
    <mergeCell ref="H121:H123"/>
    <mergeCell ref="B129:E129"/>
    <mergeCell ref="S152:S153"/>
    <mergeCell ref="T152:T153"/>
    <mergeCell ref="U152:U153"/>
    <mergeCell ref="J152:J153"/>
    <mergeCell ref="K152:K153"/>
    <mergeCell ref="L152:L153"/>
    <mergeCell ref="M152:M153"/>
    <mergeCell ref="N152:N153"/>
    <mergeCell ref="O152:O153"/>
    <mergeCell ref="M159:M160"/>
    <mergeCell ref="T159:T160"/>
    <mergeCell ref="U159:U160"/>
    <mergeCell ref="V159:V160"/>
    <mergeCell ref="W159:W160"/>
    <mergeCell ref="B161:C161"/>
    <mergeCell ref="D161:E161"/>
    <mergeCell ref="N159:N160"/>
    <mergeCell ref="O159:O160"/>
    <mergeCell ref="P159:P160"/>
    <mergeCell ref="Q159:Q160"/>
    <mergeCell ref="R159:R160"/>
    <mergeCell ref="S159:S160"/>
    <mergeCell ref="F159:F160"/>
    <mergeCell ref="G159:G160"/>
    <mergeCell ref="H159:H160"/>
    <mergeCell ref="I159:I160"/>
    <mergeCell ref="J159:J160"/>
    <mergeCell ref="K159:K160"/>
    <mergeCell ref="L159:L160"/>
    <mergeCell ref="B164:C164"/>
    <mergeCell ref="D164:E164"/>
    <mergeCell ref="F167:N167"/>
    <mergeCell ref="F168:F169"/>
    <mergeCell ref="G168:G169"/>
    <mergeCell ref="H168:H169"/>
    <mergeCell ref="I168:I169"/>
    <mergeCell ref="J168:J169"/>
    <mergeCell ref="K168:K169"/>
    <mergeCell ref="L168:L169"/>
    <mergeCell ref="M168:M169"/>
    <mergeCell ref="N168:N169"/>
    <mergeCell ref="B177:E177"/>
    <mergeCell ref="B178:E178"/>
    <mergeCell ref="B179:E181"/>
    <mergeCell ref="F179:F181"/>
    <mergeCell ref="G179:G181"/>
    <mergeCell ref="H179:H181"/>
    <mergeCell ref="I179:I181"/>
    <mergeCell ref="B182:E182"/>
    <mergeCell ref="B212:E212"/>
    <mergeCell ref="I203:I204"/>
    <mergeCell ref="N210:N211"/>
    <mergeCell ref="B213:E213"/>
    <mergeCell ref="B198:C198"/>
    <mergeCell ref="D198:E198"/>
    <mergeCell ref="L179:L181"/>
    <mergeCell ref="M179:M181"/>
    <mergeCell ref="N179:N181"/>
    <mergeCell ref="K203:K204"/>
    <mergeCell ref="L203:L204"/>
    <mergeCell ref="M203:M204"/>
    <mergeCell ref="N203:N204"/>
    <mergeCell ref="J179:J181"/>
    <mergeCell ref="K179:K181"/>
    <mergeCell ref="D191:E191"/>
    <mergeCell ref="B192:C192"/>
    <mergeCell ref="D192:E192"/>
    <mergeCell ref="B193:C195"/>
    <mergeCell ref="D193:E195"/>
    <mergeCell ref="F193:N193"/>
    <mergeCell ref="B196:C196"/>
    <mergeCell ref="D196:E196"/>
    <mergeCell ref="B197:C197"/>
    <mergeCell ref="D197:E197"/>
    <mergeCell ref="J203:J204"/>
    <mergeCell ref="O186:W186"/>
    <mergeCell ref="F187:F188"/>
    <mergeCell ref="G187:G188"/>
    <mergeCell ref="H187:H188"/>
    <mergeCell ref="I187:I188"/>
    <mergeCell ref="J187:J188"/>
    <mergeCell ref="K187:K188"/>
    <mergeCell ref="L187:L188"/>
    <mergeCell ref="M187:M188"/>
    <mergeCell ref="N187:N188"/>
    <mergeCell ref="U187:U188"/>
    <mergeCell ref="V187:V188"/>
    <mergeCell ref="W187:W188"/>
    <mergeCell ref="O187:O188"/>
    <mergeCell ref="P187:P188"/>
    <mergeCell ref="Q187:Q188"/>
    <mergeCell ref="R187:R188"/>
    <mergeCell ref="S187:S188"/>
    <mergeCell ref="T187:T188"/>
    <mergeCell ref="O193:W193"/>
    <mergeCell ref="F194:F195"/>
    <mergeCell ref="G194:G195"/>
    <mergeCell ref="H194:H195"/>
    <mergeCell ref="I194:I195"/>
    <mergeCell ref="J194:J195"/>
    <mergeCell ref="K194:K195"/>
    <mergeCell ref="L194:L195"/>
    <mergeCell ref="M194:M195"/>
    <mergeCell ref="N194:N195"/>
    <mergeCell ref="U194:U195"/>
    <mergeCell ref="V194:V195"/>
    <mergeCell ref="W194:W195"/>
    <mergeCell ref="T194:T195"/>
    <mergeCell ref="O194:O195"/>
    <mergeCell ref="P194:P195"/>
    <mergeCell ref="Q194:Q195"/>
    <mergeCell ref="R194:R195"/>
    <mergeCell ref="S194:S195"/>
    <mergeCell ref="J214:J216"/>
    <mergeCell ref="O221:W221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K214:K216"/>
    <mergeCell ref="L214:L216"/>
    <mergeCell ref="M214:M216"/>
    <mergeCell ref="N214:N216"/>
    <mergeCell ref="B220:J220"/>
    <mergeCell ref="B221:C223"/>
    <mergeCell ref="D221:E223"/>
    <mergeCell ref="F221:N221"/>
    <mergeCell ref="B214:E216"/>
    <mergeCell ref="W222:W223"/>
    <mergeCell ref="G214:G216"/>
    <mergeCell ref="H214:H216"/>
    <mergeCell ref="I214:I216"/>
    <mergeCell ref="M210:M211"/>
    <mergeCell ref="B226:C226"/>
    <mergeCell ref="D226:E226"/>
    <mergeCell ref="B227:C227"/>
    <mergeCell ref="D227:E227"/>
    <mergeCell ref="B228:C230"/>
    <mergeCell ref="D228:E230"/>
    <mergeCell ref="U222:U223"/>
    <mergeCell ref="V222:V223"/>
    <mergeCell ref="B224:C224"/>
    <mergeCell ref="D224:E224"/>
    <mergeCell ref="B225:C225"/>
    <mergeCell ref="D225:E225"/>
    <mergeCell ref="O222:O223"/>
    <mergeCell ref="P222:P223"/>
    <mergeCell ref="Q222:Q223"/>
    <mergeCell ref="R222:R223"/>
    <mergeCell ref="S222:S223"/>
    <mergeCell ref="T222:T223"/>
    <mergeCell ref="F228:N228"/>
    <mergeCell ref="O228:W228"/>
    <mergeCell ref="F229:F230"/>
    <mergeCell ref="G229:G230"/>
    <mergeCell ref="H229:H230"/>
    <mergeCell ref="W229:W230"/>
    <mergeCell ref="B231:C231"/>
    <mergeCell ref="D231:E231"/>
    <mergeCell ref="N229:N230"/>
    <mergeCell ref="O229:O230"/>
    <mergeCell ref="P229:P230"/>
    <mergeCell ref="Q229:Q230"/>
    <mergeCell ref="R229:R230"/>
    <mergeCell ref="S229:S230"/>
    <mergeCell ref="B232:C232"/>
    <mergeCell ref="D232:E232"/>
    <mergeCell ref="B233:C233"/>
    <mergeCell ref="D233:E233"/>
    <mergeCell ref="B234:C234"/>
    <mergeCell ref="D234:E234"/>
    <mergeCell ref="T229:T230"/>
    <mergeCell ref="U229:U230"/>
    <mergeCell ref="V229:V230"/>
    <mergeCell ref="I229:I230"/>
    <mergeCell ref="J229:J230"/>
    <mergeCell ref="K229:K230"/>
    <mergeCell ref="L229:L230"/>
    <mergeCell ref="M229:M230"/>
    <mergeCell ref="F237:N237"/>
    <mergeCell ref="F238:F239"/>
    <mergeCell ref="G238:G239"/>
    <mergeCell ref="H238:H239"/>
    <mergeCell ref="I238:I239"/>
    <mergeCell ref="J238:J239"/>
    <mergeCell ref="K238:K239"/>
    <mergeCell ref="L238:L239"/>
    <mergeCell ref="M238:M239"/>
    <mergeCell ref="N238:N239"/>
    <mergeCell ref="I249:I251"/>
    <mergeCell ref="J249:J251"/>
    <mergeCell ref="K249:K251"/>
    <mergeCell ref="L249:L251"/>
    <mergeCell ref="M249:M251"/>
    <mergeCell ref="N249:N251"/>
    <mergeCell ref="B247:E247"/>
    <mergeCell ref="B248:E248"/>
    <mergeCell ref="B249:E251"/>
    <mergeCell ref="F249:F251"/>
    <mergeCell ref="G249:G251"/>
    <mergeCell ref="H249:H251"/>
    <mergeCell ref="B255:J255"/>
    <mergeCell ref="B256:C258"/>
    <mergeCell ref="D256:E258"/>
    <mergeCell ref="F256:N256"/>
    <mergeCell ref="O256:W256"/>
    <mergeCell ref="F257:F258"/>
    <mergeCell ref="G257:G258"/>
    <mergeCell ref="H257:H258"/>
    <mergeCell ref="I257:I258"/>
    <mergeCell ref="J257:J258"/>
    <mergeCell ref="W257:W258"/>
    <mergeCell ref="T257:T258"/>
    <mergeCell ref="U257:U258"/>
    <mergeCell ref="V257:V258"/>
    <mergeCell ref="B259:C259"/>
    <mergeCell ref="D259:E259"/>
    <mergeCell ref="B260:C260"/>
    <mergeCell ref="D260:E260"/>
    <mergeCell ref="B261:C261"/>
    <mergeCell ref="D261:E261"/>
    <mergeCell ref="Q257:Q258"/>
    <mergeCell ref="R257:R258"/>
    <mergeCell ref="S257:S258"/>
    <mergeCell ref="K257:K258"/>
    <mergeCell ref="L257:L258"/>
    <mergeCell ref="M257:M258"/>
    <mergeCell ref="N257:N258"/>
    <mergeCell ref="O257:O258"/>
    <mergeCell ref="P257:P258"/>
    <mergeCell ref="B262:C262"/>
    <mergeCell ref="D262:E262"/>
    <mergeCell ref="B263:C265"/>
    <mergeCell ref="D263:E265"/>
    <mergeCell ref="F263:N263"/>
    <mergeCell ref="O263:W263"/>
    <mergeCell ref="F264:F265"/>
    <mergeCell ref="G264:G265"/>
    <mergeCell ref="H264:H265"/>
    <mergeCell ref="I264:I265"/>
    <mergeCell ref="V264:V265"/>
    <mergeCell ref="W264:W265"/>
    <mergeCell ref="U264:U265"/>
    <mergeCell ref="B266:C266"/>
    <mergeCell ref="D266:E266"/>
    <mergeCell ref="B267:C267"/>
    <mergeCell ref="D267:E267"/>
    <mergeCell ref="P264:P265"/>
    <mergeCell ref="Q264:Q265"/>
    <mergeCell ref="R264:R265"/>
    <mergeCell ref="S264:S265"/>
    <mergeCell ref="T264:T265"/>
    <mergeCell ref="J264:J265"/>
    <mergeCell ref="K264:K265"/>
    <mergeCell ref="L264:L265"/>
    <mergeCell ref="M264:M265"/>
    <mergeCell ref="N264:N265"/>
    <mergeCell ref="O264:O265"/>
    <mergeCell ref="K273:K274"/>
    <mergeCell ref="L273:L274"/>
    <mergeCell ref="M273:M274"/>
    <mergeCell ref="N273:N274"/>
    <mergeCell ref="B282:E282"/>
    <mergeCell ref="B283:E283"/>
    <mergeCell ref="B268:C268"/>
    <mergeCell ref="D268:E268"/>
    <mergeCell ref="B269:C269"/>
    <mergeCell ref="D269:E269"/>
    <mergeCell ref="F272:N272"/>
    <mergeCell ref="F273:F274"/>
    <mergeCell ref="G273:G274"/>
    <mergeCell ref="H273:H274"/>
    <mergeCell ref="I273:I274"/>
    <mergeCell ref="J273:J274"/>
    <mergeCell ref="N280:N281"/>
    <mergeCell ref="L290:L291"/>
    <mergeCell ref="M290:M291"/>
    <mergeCell ref="N290:N291"/>
    <mergeCell ref="F290:F291"/>
    <mergeCell ref="G290:G291"/>
    <mergeCell ref="H290:H291"/>
    <mergeCell ref="I290:I291"/>
    <mergeCell ref="J290:J291"/>
    <mergeCell ref="K290:K291"/>
    <mergeCell ref="D293:E293"/>
    <mergeCell ref="B284:E286"/>
    <mergeCell ref="F284:F286"/>
    <mergeCell ref="G284:G286"/>
    <mergeCell ref="H284:H286"/>
    <mergeCell ref="I284:I286"/>
    <mergeCell ref="J284:J286"/>
    <mergeCell ref="B292:C293"/>
    <mergeCell ref="B287:E287"/>
    <mergeCell ref="D292:E292"/>
    <mergeCell ref="B318:J318"/>
    <mergeCell ref="B319:C321"/>
    <mergeCell ref="D319:E321"/>
    <mergeCell ref="F319:N319"/>
    <mergeCell ref="B294:C295"/>
    <mergeCell ref="D294:E294"/>
    <mergeCell ref="D295:E295"/>
    <mergeCell ref="B296:C297"/>
    <mergeCell ref="D296:E296"/>
    <mergeCell ref="D297:E297"/>
    <mergeCell ref="J300:J302"/>
    <mergeCell ref="B308:D308"/>
    <mergeCell ref="E308:G308"/>
    <mergeCell ref="B305:T305"/>
    <mergeCell ref="B307:D307"/>
    <mergeCell ref="E307:G307"/>
    <mergeCell ref="K300:K302"/>
    <mergeCell ref="L300:L302"/>
    <mergeCell ref="M300:M302"/>
    <mergeCell ref="N300:N302"/>
    <mergeCell ref="B298:C299"/>
    <mergeCell ref="D298:E298"/>
    <mergeCell ref="D299:E299"/>
    <mergeCell ref="B300:E302"/>
    <mergeCell ref="O319:W319"/>
    <mergeCell ref="F320:F321"/>
    <mergeCell ref="G320:G321"/>
    <mergeCell ref="H320:H321"/>
    <mergeCell ref="I320:I321"/>
    <mergeCell ref="J320:J321"/>
    <mergeCell ref="K320:K321"/>
    <mergeCell ref="L320:L321"/>
    <mergeCell ref="M320:M321"/>
    <mergeCell ref="N320:N321"/>
    <mergeCell ref="B324:C324"/>
    <mergeCell ref="D324:E324"/>
    <mergeCell ref="B325:C325"/>
    <mergeCell ref="D325:E325"/>
    <mergeCell ref="B326:C328"/>
    <mergeCell ref="D326:E328"/>
    <mergeCell ref="U320:U321"/>
    <mergeCell ref="V320:V321"/>
    <mergeCell ref="W320:W321"/>
    <mergeCell ref="B322:C322"/>
    <mergeCell ref="D322:E322"/>
    <mergeCell ref="B323:C323"/>
    <mergeCell ref="D323:E323"/>
    <mergeCell ref="O320:O321"/>
    <mergeCell ref="P320:P321"/>
    <mergeCell ref="Q320:Q321"/>
    <mergeCell ref="R320:R321"/>
    <mergeCell ref="S320:S321"/>
    <mergeCell ref="T320:T321"/>
    <mergeCell ref="F326:N326"/>
    <mergeCell ref="O326:W326"/>
    <mergeCell ref="F327:F328"/>
    <mergeCell ref="G327:G328"/>
    <mergeCell ref="H327:H328"/>
    <mergeCell ref="W327:W328"/>
    <mergeCell ref="B329:C329"/>
    <mergeCell ref="D329:E329"/>
    <mergeCell ref="N327:N328"/>
    <mergeCell ref="O327:O328"/>
    <mergeCell ref="P327:P328"/>
    <mergeCell ref="Q327:Q328"/>
    <mergeCell ref="R327:R328"/>
    <mergeCell ref="S327:S328"/>
    <mergeCell ref="B330:C330"/>
    <mergeCell ref="D330:E330"/>
    <mergeCell ref="B331:C331"/>
    <mergeCell ref="D331:E331"/>
    <mergeCell ref="B332:C332"/>
    <mergeCell ref="D332:E332"/>
    <mergeCell ref="T327:T328"/>
    <mergeCell ref="U327:U328"/>
    <mergeCell ref="V327:V328"/>
    <mergeCell ref="I327:I328"/>
    <mergeCell ref="J327:J328"/>
    <mergeCell ref="K327:K328"/>
    <mergeCell ref="L327:L328"/>
    <mergeCell ref="M327:M328"/>
    <mergeCell ref="B347:E349"/>
    <mergeCell ref="F335:N335"/>
    <mergeCell ref="F336:F337"/>
    <mergeCell ref="G336:G337"/>
    <mergeCell ref="H336:H337"/>
    <mergeCell ref="I336:I337"/>
    <mergeCell ref="J336:J337"/>
    <mergeCell ref="K336:K337"/>
    <mergeCell ref="L336:L337"/>
    <mergeCell ref="M336:M337"/>
    <mergeCell ref="N336:N337"/>
    <mergeCell ref="I347:I349"/>
    <mergeCell ref="J347:J349"/>
    <mergeCell ref="K347:K349"/>
    <mergeCell ref="L347:L349"/>
    <mergeCell ref="F347:F349"/>
    <mergeCell ref="G347:G349"/>
    <mergeCell ref="H347:H349"/>
    <mergeCell ref="B87:N87"/>
    <mergeCell ref="B88:E88"/>
    <mergeCell ref="E2:U4"/>
    <mergeCell ref="E311:J311"/>
    <mergeCell ref="B368:E368"/>
    <mergeCell ref="B369:E369"/>
    <mergeCell ref="I357:I359"/>
    <mergeCell ref="J357:J359"/>
    <mergeCell ref="K357:K359"/>
    <mergeCell ref="L357:L359"/>
    <mergeCell ref="M357:M359"/>
    <mergeCell ref="N357:N359"/>
    <mergeCell ref="M347:M349"/>
    <mergeCell ref="N347:N349"/>
    <mergeCell ref="F353:F354"/>
    <mergeCell ref="G353:G354"/>
    <mergeCell ref="H353:H354"/>
    <mergeCell ref="I353:I354"/>
    <mergeCell ref="J353:J354"/>
    <mergeCell ref="K353:K354"/>
    <mergeCell ref="L353:L354"/>
    <mergeCell ref="M353:M354"/>
    <mergeCell ref="B345:E345"/>
    <mergeCell ref="B346:E346"/>
    <mergeCell ref="V2:X4"/>
    <mergeCell ref="B145:N145"/>
    <mergeCell ref="B146:E146"/>
    <mergeCell ref="B147:E147"/>
    <mergeCell ref="B148:E148"/>
    <mergeCell ref="B313:N313"/>
    <mergeCell ref="B314:E314"/>
    <mergeCell ref="B315:E315"/>
    <mergeCell ref="B316:E316"/>
    <mergeCell ref="B89:E89"/>
    <mergeCell ref="B90:E90"/>
    <mergeCell ref="B311:D311"/>
    <mergeCell ref="B309:D309"/>
    <mergeCell ref="E309:G309"/>
    <mergeCell ref="B310:D310"/>
    <mergeCell ref="E310:G310"/>
    <mergeCell ref="F300:F302"/>
    <mergeCell ref="G300:G302"/>
    <mergeCell ref="H300:H302"/>
    <mergeCell ref="I300:I302"/>
    <mergeCell ref="K284:K286"/>
    <mergeCell ref="L284:L286"/>
    <mergeCell ref="M284:M286"/>
    <mergeCell ref="N284:N286"/>
  </mergeCells>
  <phoneticPr fontId="32" type="noConversion"/>
  <conditionalFormatting sqref="B361:H361">
    <cfRule type="cellIs" dxfId="88" priority="167" operator="equal">
      <formula>"Les échantillons ne sont pas stables"</formula>
    </cfRule>
  </conditionalFormatting>
  <conditionalFormatting sqref="F360:H360 B361:H361">
    <cfRule type="cellIs" dxfId="87" priority="166" operator="equal">
      <formula>"Les échantillons sont stables"</formula>
    </cfRule>
  </conditionalFormatting>
  <conditionalFormatting sqref="F360:H360">
    <cfRule type="cellIs" dxfId="86" priority="147" operator="equal">
      <formula>"Les échantillons ne sont pas stables"</formula>
    </cfRule>
  </conditionalFormatting>
  <conditionalFormatting sqref="F55:N64">
    <cfRule type="cellIs" dxfId="85" priority="133" operator="between">
      <formula>0</formula>
      <formula>$H$14</formula>
    </cfRule>
    <cfRule type="cellIs" dxfId="84" priority="134" operator="greaterThan">
      <formula>$H$14</formula>
    </cfRule>
  </conditionalFormatting>
  <conditionalFormatting sqref="F71:N71">
    <cfRule type="cellIs" dxfId="83" priority="187" operator="equal">
      <formula>"Les échantillons ne sont pas homogènes; éliminer les résultats indiqués en rouge. Ne pas éliminer plusque 2 résultats"</formula>
    </cfRule>
    <cfRule type="cellIs" dxfId="82" priority="186" operator="equal">
      <formula>"Les échantillons sont homogènes"</formula>
    </cfRule>
  </conditionalFormatting>
  <conditionalFormatting sqref="F71:N76">
    <cfRule type="cellIs" dxfId="81" priority="135" operator="equal">
      <formula>"Les échantillons ne sont pas homogènes; éliminer les résultats indiqués en rouge. Ne pas éliminer plus que 1 résultat"</formula>
    </cfRule>
  </conditionalFormatting>
  <conditionalFormatting sqref="F112:N115">
    <cfRule type="cellIs" dxfId="80" priority="128" operator="greaterThan">
      <formula>$H$14</formula>
    </cfRule>
    <cfRule type="cellIs" dxfId="79" priority="127" operator="between">
      <formula>0</formula>
      <formula>$H$14</formula>
    </cfRule>
  </conditionalFormatting>
  <conditionalFormatting sqref="F121:N121">
    <cfRule type="cellIs" dxfId="78" priority="122" operator="equal">
      <formula>"Les échantillons ne sont pas homogènes;remplacer par d'autre résutats"</formula>
    </cfRule>
    <cfRule type="cellIs" dxfId="77" priority="121" operator="equal">
      <formula>"Les échantillons sont homogènes"</formula>
    </cfRule>
  </conditionalFormatting>
  <conditionalFormatting sqref="F121:N123 F179:N181 F183:N184 F214:N216 F218:N219 F249:N251 F253:N254 F284:N286 F288:N288">
    <cfRule type="cellIs" dxfId="76" priority="120" operator="equal">
      <formula>"Les échantillons ne sont pas stables;remplacer par d'autre résultats"</formula>
    </cfRule>
    <cfRule type="cellIs" dxfId="75" priority="119" operator="equal">
      <formula>"Les échantillons sont stables"</formula>
    </cfRule>
  </conditionalFormatting>
  <conditionalFormatting sqref="F124:N124">
    <cfRule type="cellIs" dxfId="74" priority="37" operator="equal">
      <formula>"Les échantillons ne sont pas homogènes; éliminer les résultats indiqués en rouge. Ne pas éliminer plus que 1 résultat"</formula>
    </cfRule>
  </conditionalFormatting>
  <conditionalFormatting sqref="F129:N130">
    <cfRule type="cellIs" dxfId="73" priority="177" operator="equal">
      <formula>"Les échantillons sont stables"</formula>
    </cfRule>
  </conditionalFormatting>
  <conditionalFormatting sqref="F129:N131">
    <cfRule type="cellIs" dxfId="72" priority="176" operator="equal">
      <formula>"Les échantillons ne sont pas stables"</formula>
    </cfRule>
  </conditionalFormatting>
  <conditionalFormatting sqref="F131:N131">
    <cfRule type="cellIs" dxfId="71" priority="175" operator="equal">
      <formula>"Les échantillons sont stables"</formula>
    </cfRule>
  </conditionalFormatting>
  <conditionalFormatting sqref="F170:N173">
    <cfRule type="cellIs" dxfId="70" priority="109" operator="greaterThan">
      <formula>$H$14</formula>
    </cfRule>
    <cfRule type="cellIs" dxfId="69" priority="108" operator="between">
      <formula>0</formula>
      <formula>$H$14</formula>
    </cfRule>
  </conditionalFormatting>
  <conditionalFormatting sqref="F179:N179">
    <cfRule type="cellIs" dxfId="68" priority="56" operator="equal">
      <formula>"Les échantillons sont homogènes"</formula>
    </cfRule>
    <cfRule type="cellIs" dxfId="67" priority="57" operator="equal">
      <formula>"Les échantillons ne sont pas homogènes;remplacer par d'autre résutats"</formula>
    </cfRule>
  </conditionalFormatting>
  <conditionalFormatting sqref="F182:N182">
    <cfRule type="cellIs" dxfId="66" priority="36" operator="equal">
      <formula>"Les échantillons ne sont pas homogènes; éliminer les résultats indiqués en rouge. Ne pas éliminer plus que 1 résultat"</formula>
    </cfRule>
  </conditionalFormatting>
  <conditionalFormatting sqref="F205:N208">
    <cfRule type="cellIs" dxfId="65" priority="101" operator="greaterThan">
      <formula>$H$14</formula>
    </cfRule>
    <cfRule type="cellIs" dxfId="64" priority="100" operator="between">
      <formula>0</formula>
      <formula>$H$14</formula>
    </cfRule>
  </conditionalFormatting>
  <conditionalFormatting sqref="F214:N214">
    <cfRule type="cellIs" dxfId="63" priority="52" operator="equal">
      <formula>"Les échantillons sont homogènes"</formula>
    </cfRule>
    <cfRule type="cellIs" dxfId="62" priority="53" operator="equal">
      <formula>"Les échantillons ne sont pas homogènes;remplacer par d'autre résutats"</formula>
    </cfRule>
  </conditionalFormatting>
  <conditionalFormatting sqref="F217:N217">
    <cfRule type="cellIs" dxfId="61" priority="35" operator="equal">
      <formula>"Les échantillons ne sont pas homogènes; éliminer les résultats indiqués en rouge. Ne pas éliminer plus que 1 résultat"</formula>
    </cfRule>
  </conditionalFormatting>
  <conditionalFormatting sqref="F240:N243">
    <cfRule type="cellIs" dxfId="60" priority="95" operator="greaterThan">
      <formula>$H$14</formula>
    </cfRule>
    <cfRule type="cellIs" dxfId="59" priority="94" operator="between">
      <formula>0</formula>
      <formula>$H$14</formula>
    </cfRule>
  </conditionalFormatting>
  <conditionalFormatting sqref="F249:N249">
    <cfRule type="cellIs" dxfId="58" priority="46" operator="equal">
      <formula>"Les échantillons sont homogènes"</formula>
    </cfRule>
    <cfRule type="cellIs" dxfId="57" priority="47" operator="equal">
      <formula>"Les échantillons ne sont pas homogènes;remplacer par d'autre résutats"</formula>
    </cfRule>
  </conditionalFormatting>
  <conditionalFormatting sqref="F252:N252">
    <cfRule type="cellIs" dxfId="56" priority="34" operator="equal">
      <formula>"Les échantillons ne sont pas homogènes; éliminer les résultats indiqués en rouge. Ne pas éliminer plus que 1 résultat"</formula>
    </cfRule>
  </conditionalFormatting>
  <conditionalFormatting sqref="F275:N278">
    <cfRule type="cellIs" dxfId="55" priority="88" operator="between">
      <formula>0</formula>
      <formula>$H$14</formula>
    </cfRule>
    <cfRule type="cellIs" dxfId="54" priority="89" operator="greaterThan">
      <formula>$H$14</formula>
    </cfRule>
  </conditionalFormatting>
  <conditionalFormatting sqref="F284:N284">
    <cfRule type="cellIs" dxfId="53" priority="38" operator="equal">
      <formula>"Les échantillons sont homogènes"</formula>
    </cfRule>
    <cfRule type="cellIs" dxfId="52" priority="39" operator="equal">
      <formula>"Les échantillons ne sont pas homogènes;remplacer par d'autre résutats"</formula>
    </cfRule>
  </conditionalFormatting>
  <conditionalFormatting sqref="F287:N287">
    <cfRule type="cellIs" dxfId="51" priority="33" operator="equal">
      <formula>"Les échantillons ne sont pas homogènes; éliminer les résultats indiqués en rouge. Ne pas éliminer plus que 1 résultat"</formula>
    </cfRule>
  </conditionalFormatting>
  <conditionalFormatting sqref="F292:N299">
    <cfRule type="cellIs" dxfId="50" priority="118" operator="equal">
      <formula>"Les échantillons sont stables"</formula>
    </cfRule>
  </conditionalFormatting>
  <conditionalFormatting sqref="F292:N300">
    <cfRule type="cellIs" dxfId="49" priority="117" operator="equal">
      <formula>"Les échantillons ne sont pas stables"</formula>
    </cfRule>
  </conditionalFormatting>
  <conditionalFormatting sqref="F300:N300">
    <cfRule type="cellIs" dxfId="48" priority="116" operator="equal">
      <formula>"Les échantillons sont stables"</formula>
    </cfRule>
  </conditionalFormatting>
  <conditionalFormatting sqref="F338:N341">
    <cfRule type="cellIs" dxfId="47" priority="73" operator="between">
      <formula>0</formula>
      <formula>$H$14</formula>
    </cfRule>
    <cfRule type="cellIs" dxfId="46" priority="74" operator="greaterThan">
      <formula>$H$14</formula>
    </cfRule>
  </conditionalFormatting>
  <conditionalFormatting sqref="F347:N347">
    <cfRule type="cellIs" dxfId="45" priority="60" operator="equal">
      <formula>"Les échantillons sont homogènes"</formula>
    </cfRule>
    <cfRule type="cellIs" dxfId="44" priority="61" operator="equal">
      <formula>"Les échantillons ne sont pas homogènes;remplacer par d'autre résutats"</formula>
    </cfRule>
  </conditionalFormatting>
  <conditionalFormatting sqref="F347:N349">
    <cfRule type="cellIs" dxfId="43" priority="58" operator="equal">
      <formula>"Les échantillons sont stables"</formula>
    </cfRule>
    <cfRule type="cellIs" dxfId="42" priority="59" operator="equal">
      <formula>"Les échantillons ne sont pas stables;remplacer par d'autre résultats"</formula>
    </cfRule>
  </conditionalFormatting>
  <conditionalFormatting sqref="F350:N350">
    <cfRule type="cellIs" dxfId="41" priority="32" operator="equal">
      <formula>"Les échantillons ne sont pas homogènes; éliminer les résultats indiqués en rouge. Ne pas éliminer plus que 1 résultat"</formula>
    </cfRule>
  </conditionalFormatting>
  <conditionalFormatting sqref="F355:N356">
    <cfRule type="cellIs" dxfId="40" priority="83" operator="equal">
      <formula>"Les échantillons sont stables"</formula>
    </cfRule>
  </conditionalFormatting>
  <conditionalFormatting sqref="F355:N357">
    <cfRule type="cellIs" dxfId="39" priority="82" operator="equal">
      <formula>"Les échantillons ne sont pas stables"</formula>
    </cfRule>
  </conditionalFormatting>
  <conditionalFormatting sqref="F357:N357">
    <cfRule type="cellIs" dxfId="38" priority="81" operator="equal">
      <formula>"Les échantillons sont stables"</formula>
    </cfRule>
  </conditionalFormatting>
  <conditionalFormatting sqref="F365:N365">
    <cfRule type="cellIs" dxfId="37" priority="66" operator="equal">
      <formula>"Les échantillons ne sont pas homogènes; éliminer les résultats indiqués en rouge. Ne pas éliminer plus que 1 résultat"</formula>
    </cfRule>
    <cfRule type="cellIs" dxfId="36" priority="65" operator="equal">
      <formula>"Les échantillons sont homogènes"</formula>
    </cfRule>
  </conditionalFormatting>
  <conditionalFormatting sqref="F366:N368">
    <cfRule type="cellIs" dxfId="35" priority="64" operator="equal">
      <formula>"Les échantillons sont stables"</formula>
    </cfRule>
    <cfRule type="cellIs" dxfId="34" priority="63" operator="equal">
      <formula>"Les échantillons ne sont pas stables"</formula>
    </cfRule>
  </conditionalFormatting>
  <conditionalFormatting sqref="F369:N369">
    <cfRule type="cellIs" dxfId="33" priority="5" operator="equal">
      <formula>"Les échantillons sont homogènes et stables"</formula>
    </cfRule>
  </conditionalFormatting>
  <conditionalFormatting sqref="F370:N371">
    <cfRule type="cellIs" dxfId="32" priority="2" operator="equal">
      <formula>"Les échantillons sont homogènes et stables. L'écart maximal toléré choisi est à utiliser pour évaluer la performance des participants"</formula>
    </cfRule>
    <cfRule type="cellIs" dxfId="31" priority="1" operator="equal">
      <formula>"Les échantillons sont instables, une décision est prise suite à une réunion"</formula>
    </cfRule>
  </conditionalFormatting>
  <conditionalFormatting sqref="F369:T369">
    <cfRule type="cellIs" dxfId="30" priority="144" operator="equal">
      <formula>"Les échantillons sont soit non homogène soit non stables"</formula>
    </cfRule>
  </conditionalFormatting>
  <conditionalFormatting sqref="M378">
    <cfRule type="cellIs" dxfId="29" priority="62" operator="equal">
      <formula>"Les échantillons sont homogènes et stables"</formula>
    </cfRule>
  </conditionalFormatting>
  <conditionalFormatting sqref="O370:T370">
    <cfRule type="cellIs" dxfId="28" priority="9" operator="equal">
      <formula>"Les échantillons sont soit non homogène soit non stables"</formula>
    </cfRule>
  </conditionalFormatting>
  <conditionalFormatting sqref="O25:W34 O91:W91 O317:W317">
    <cfRule type="cellIs" dxfId="27" priority="141" operator="equal">
      <formula>"OK"</formula>
    </cfRule>
    <cfRule type="cellIs" dxfId="26" priority="140" operator="equal">
      <formula>"NOT OK"</formula>
    </cfRule>
  </conditionalFormatting>
  <conditionalFormatting sqref="O40:W65">
    <cfRule type="cellIs" dxfId="25" priority="30" operator="equal">
      <formula>"NOT OK"</formula>
    </cfRule>
    <cfRule type="cellIs" dxfId="24" priority="31" operator="equal">
      <formula>"OK"</formula>
    </cfRule>
  </conditionalFormatting>
  <conditionalFormatting sqref="O96:W99">
    <cfRule type="cellIs" dxfId="23" priority="123" operator="equal">
      <formula>"NOT OK"</formula>
    </cfRule>
    <cfRule type="cellIs" dxfId="22" priority="124" operator="equal">
      <formula>"OK"</formula>
    </cfRule>
  </conditionalFormatting>
  <conditionalFormatting sqref="O103:W127">
    <cfRule type="cellIs" dxfId="21" priority="25" operator="equal">
      <formula>"OK"</formula>
    </cfRule>
    <cfRule type="cellIs" dxfId="20" priority="24" operator="equal">
      <formula>"NOT OK"</formula>
    </cfRule>
  </conditionalFormatting>
  <conditionalFormatting sqref="O154:W157">
    <cfRule type="cellIs" dxfId="19" priority="107" operator="equal">
      <formula>"OK"</formula>
    </cfRule>
    <cfRule type="cellIs" dxfId="18" priority="106" operator="equal">
      <formula>"NOT OK"</formula>
    </cfRule>
  </conditionalFormatting>
  <conditionalFormatting sqref="O161:W184">
    <cfRule type="cellIs" dxfId="17" priority="22" operator="equal">
      <formula>"NOT OK"</formula>
    </cfRule>
    <cfRule type="cellIs" dxfId="16" priority="23" operator="equal">
      <formula>"OK"</formula>
    </cfRule>
  </conditionalFormatting>
  <conditionalFormatting sqref="O189:W192">
    <cfRule type="cellIs" dxfId="15" priority="99" operator="equal">
      <formula>"OK"</formula>
    </cfRule>
    <cfRule type="cellIs" dxfId="14" priority="98" operator="equal">
      <formula>"NOT OK"</formula>
    </cfRule>
  </conditionalFormatting>
  <conditionalFormatting sqref="O196:W219">
    <cfRule type="cellIs" dxfId="13" priority="20" operator="equal">
      <formula>"NOT OK"</formula>
    </cfRule>
    <cfRule type="cellIs" dxfId="12" priority="21" operator="equal">
      <formula>"OK"</formula>
    </cfRule>
  </conditionalFormatting>
  <conditionalFormatting sqref="O224:W227">
    <cfRule type="cellIs" dxfId="11" priority="93" operator="equal">
      <formula>"OK"</formula>
    </cfRule>
    <cfRule type="cellIs" dxfId="10" priority="92" operator="equal">
      <formula>"NOT OK"</formula>
    </cfRule>
  </conditionalFormatting>
  <conditionalFormatting sqref="O231:W254">
    <cfRule type="cellIs" dxfId="9" priority="19" operator="equal">
      <formula>"OK"</formula>
    </cfRule>
    <cfRule type="cellIs" dxfId="8" priority="18" operator="equal">
      <formula>"NOT OK"</formula>
    </cfRule>
  </conditionalFormatting>
  <conditionalFormatting sqref="O259:W262">
    <cfRule type="cellIs" dxfId="7" priority="16" operator="equal">
      <formula>"NOT OK"</formula>
    </cfRule>
    <cfRule type="cellIs" dxfId="6" priority="17" operator="equal">
      <formula>"OK"</formula>
    </cfRule>
  </conditionalFormatting>
  <conditionalFormatting sqref="O266:W290">
    <cfRule type="cellIs" dxfId="5" priority="15" operator="equal">
      <formula>"OK"</formula>
    </cfRule>
    <cfRule type="cellIs" dxfId="4" priority="14" operator="equal">
      <formula>"NOT OK"</formula>
    </cfRule>
  </conditionalFormatting>
  <conditionalFormatting sqref="O322:W325">
    <cfRule type="cellIs" dxfId="3" priority="12" operator="equal">
      <formula>"NOT OK"</formula>
    </cfRule>
    <cfRule type="cellIs" dxfId="2" priority="13" operator="equal">
      <formula>"OK"</formula>
    </cfRule>
  </conditionalFormatting>
  <conditionalFormatting sqref="O329:W353">
    <cfRule type="cellIs" dxfId="1" priority="10" operator="equal">
      <formula>"NOT OK"</formula>
    </cfRule>
    <cfRule type="cellIs" dxfId="0" priority="11" operator="equal">
      <formula>"OK"</formula>
    </cfRule>
  </conditionalFormatting>
  <dataValidations count="1">
    <dataValidation type="list" allowBlank="1" showInputMessage="1" showErrorMessage="1" sqref="R72 H12" xr:uid="{A49D83C6-70E3-4017-83A6-ADA7AA7FC350}">
      <formula1>$AA$1:$AA$2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</vt:i4>
      </vt:variant>
    </vt:vector>
  </HeadingPairs>
  <TitlesOfParts>
    <vt:vector size="8" baseType="lpstr">
      <vt:lpstr>Page 1</vt:lpstr>
      <vt:lpstr>Selection des entités</vt:lpstr>
      <vt:lpstr>Homogénéité-stabilité-quantita </vt:lpstr>
      <vt:lpstr>Test de cochran</vt:lpstr>
      <vt:lpstr>Homogénéité-stabilité-qualita</vt:lpstr>
      <vt:lpstr>Homogénéité-stabilité-solidité</vt:lpstr>
      <vt:lpstr>'Homogénéité-stabilité-quantita '!Zone_d_impression</vt:lpstr>
      <vt:lpstr>'Test de cochran'!Zone_d_impression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Rania Horrigue</dc:creator>
  <cp:lastModifiedBy>Nawress Sidia</cp:lastModifiedBy>
  <cp:lastPrinted>2025-11-08T11:18:53Z</cp:lastPrinted>
  <dcterms:created xsi:type="dcterms:W3CDTF">2015-06-05T18:19:34Z</dcterms:created>
  <dcterms:modified xsi:type="dcterms:W3CDTF">2026-08-10T07:58:17Z</dcterms:modified>
</cp:coreProperties>
</file>